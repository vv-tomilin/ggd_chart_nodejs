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comments4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vmlDrawing1.vml" ContentType="application/vnd.openxmlformats-officedocument.vmlDrawing"/>
  <Override PartName="/xl/drawings/_rels/drawing3.xml.rels" ContentType="application/vnd.openxmlformats-package.relationships+xml"/>
  <Override PartName="/xl/drawings/_rels/drawing4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Глубина-день" sheetId="1" state="visible" r:id="rId3"/>
    <sheet name="Для Печати" sheetId="2" state="hidden" r:id="rId4"/>
    <sheet name="Графики" sheetId="3" state="visible" r:id="rId5"/>
    <sheet name="реестр НПВ" sheetId="4" state="visible" r:id="rId6"/>
  </sheets>
  <definedNames>
    <definedName function="false" hidden="false" localSheetId="0" name="_xlnm.Print_Area" vbProcedure="false">'Глубина-день'!$A$1:$T$302</definedName>
    <definedName function="false" hidden="false" localSheetId="2" name="_xlnm.Print_Area" vbProcedure="false">Графики!$A$1:$U$42</definedName>
    <definedName function="false" hidden="false" localSheetId="1" name="_xlnm.Print_Area" vbProcedure="false">'Для Печати'!$A$1:$O$87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&lt;анонимный&gt;</author>
  </authors>
  <commentList>
    <comment ref="J1" authorId="0">
      <text>
        <r>
          <rPr>
            <sz val="10"/>
            <rFont val="Arial"/>
            <family val="2"/>
            <charset val="204"/>
          </rPr>
          <t xml:space="preserve">Автор:
</t>
        </r>
        <r>
          <rPr>
            <sz val="9"/>
            <rFont val="Tahoma"/>
            <family val="2"/>
            <charset val="204"/>
          </rPr>
          <t xml:space="preserve">выбирается из выпадающего списка
</t>
        </r>
      </text>
    </comment>
  </commentList>
</comments>
</file>

<file path=xl/sharedStrings.xml><?xml version="1.0" encoding="utf-8"?>
<sst xmlns="http://schemas.openxmlformats.org/spreadsheetml/2006/main" count="309" uniqueCount="202">
  <si>
    <t xml:space="preserve">Сетевой график "Глубина-день"</t>
  </si>
  <si>
    <t xml:space="preserve">Определение</t>
  </si>
  <si>
    <t xml:space="preserve">Конструкция скважины</t>
  </si>
  <si>
    <t xml:space="preserve">Начальные и прогнозные параметры</t>
  </si>
  <si>
    <t xml:space="preserve">Компания</t>
  </si>
  <si>
    <t xml:space="preserve">ООО "Газпромнефть-Хантос"</t>
  </si>
  <si>
    <t xml:space="preserve">Проект</t>
  </si>
  <si>
    <t xml:space="preserve">Забой</t>
  </si>
  <si>
    <t xml:space="preserve">Начало бурения</t>
  </si>
  <si>
    <t xml:space="preserve">Месторождение</t>
  </si>
  <si>
    <t xml:space="preserve">Южно-Приобское</t>
  </si>
  <si>
    <t xml:space="preserve">Секция</t>
  </si>
  <si>
    <t xml:space="preserve">План</t>
  </si>
  <si>
    <t xml:space="preserve">Факт</t>
  </si>
  <si>
    <t xml:space="preserve">св, шт</t>
  </si>
  <si>
    <t xml:space="preserve">ОК, шт</t>
  </si>
  <si>
    <t xml:space="preserve">План окончания бурения</t>
  </si>
  <si>
    <t xml:space="preserve">Кустовая площадка</t>
  </si>
  <si>
    <t xml:space="preserve">134В.1 ЮПМ</t>
  </si>
  <si>
    <t xml:space="preserve">Факт/прогноз</t>
  </si>
  <si>
    <t xml:space="preserve">Скважина №</t>
  </si>
  <si>
    <t xml:space="preserve">План для бонуса</t>
  </si>
  <si>
    <t xml:space="preserve">Тип скважины</t>
  </si>
  <si>
    <t xml:space="preserve">2КК, ГС без ПС</t>
  </si>
  <si>
    <t xml:space="preserve">Т1</t>
  </si>
  <si>
    <t xml:space="preserve">Руководитель направления</t>
  </si>
  <si>
    <t xml:space="preserve">Богомягков В.А.</t>
  </si>
  <si>
    <t xml:space="preserve">Факт/прогноз, сут</t>
  </si>
  <si>
    <t xml:space="preserve">Супервайзера ООО "КОМТЭК"</t>
  </si>
  <si>
    <t xml:space="preserve">Длина ГС</t>
  </si>
  <si>
    <t xml:space="preserve">Скорость бурения,
сут/1000м</t>
  </si>
  <si>
    <t xml:space="preserve">Пилот №1/точка срезки/Длина</t>
  </si>
  <si>
    <t xml:space="preserve">Факт+Прогноз</t>
  </si>
  <si>
    <t xml:space="preserve">Пилот №2/точка срезки/Длина</t>
  </si>
  <si>
    <t xml:space="preserve">Проходка</t>
  </si>
  <si>
    <t xml:space="preserve">Отклон.от плана, сут.</t>
  </si>
  <si>
    <t xml:space="preserve">Индекс сложности</t>
  </si>
  <si>
    <t xml:space="preserve">Прогноз % времени на ТО БУ</t>
  </si>
  <si>
    <t xml:space="preserve">*Плановое время учитывает 5% времени на ТО БУ</t>
  </si>
  <si>
    <t xml:space="preserve">Операции</t>
  </si>
  <si>
    <t xml:space="preserve">Мероприятия</t>
  </si>
  <si>
    <t xml:space="preserve">#</t>
  </si>
  <si>
    <t xml:space="preserve">Описание</t>
  </si>
  <si>
    <t xml:space="preserve">ОК</t>
  </si>
  <si>
    <t xml:space="preserve">Интервал</t>
  </si>
  <si>
    <t xml:space="preserve">Забой, м</t>
  </si>
  <si>
    <t xml:space="preserve">Время</t>
  </si>
  <si>
    <t xml:space="preserve">Окончание</t>
  </si>
  <si>
    <t xml:space="preserve">Время
Факт, ч</t>
  </si>
  <si>
    <t xml:space="preserve">НПВ, ч</t>
  </si>
  <si>
    <t xml:space="preserve">Откл</t>
  </si>
  <si>
    <t xml:space="preserve">Примечание</t>
  </si>
  <si>
    <t xml:space="preserve">от</t>
  </si>
  <si>
    <t xml:space="preserve">до</t>
  </si>
  <si>
    <t xml:space="preserve">Факт/Прогноз</t>
  </si>
  <si>
    <t xml:space="preserve">КНБК</t>
  </si>
  <si>
    <t xml:space="preserve">Сборка КНБК</t>
  </si>
  <si>
    <t xml:space="preserve">Бурение</t>
  </si>
  <si>
    <t xml:space="preserve">Бурение под направление</t>
  </si>
  <si>
    <t xml:space="preserve">Шаблонирование / проработка</t>
  </si>
  <si>
    <t xml:space="preserve">Шаблонирование перед спуском</t>
  </si>
  <si>
    <t xml:space="preserve">Разборка КНБК</t>
  </si>
  <si>
    <t xml:space="preserve">Подготовительные работы</t>
  </si>
  <si>
    <t xml:space="preserve">ПР к спуску направления 245 мм</t>
  </si>
  <si>
    <t xml:space="preserve">Крепление</t>
  </si>
  <si>
    <t xml:space="preserve">Спуск направления</t>
  </si>
  <si>
    <t xml:space="preserve">Циркуляция и Обработка БР</t>
  </si>
  <si>
    <t xml:space="preserve">Промывка перед цементажем</t>
  </si>
  <si>
    <t xml:space="preserve">Цементаж направления 245мм</t>
  </si>
  <si>
    <t xml:space="preserve">ОЗЦ Вывоз БР после бурения направления, Заготовка БР (5ч). Оборудование устья (3ч).</t>
  </si>
  <si>
    <t xml:space="preserve">ч</t>
  </si>
  <si>
    <t xml:space="preserve">ПВО</t>
  </si>
  <si>
    <t xml:space="preserve">Монтаж ПВО (6ч). Опрессовка глухих плашек ППГ, БГ, БД, выкидных линий, крестовины с коренными задвижками, ЗБР (1,5ч).</t>
  </si>
  <si>
    <t xml:space="preserve">Сборка КНБК для бурения.</t>
  </si>
  <si>
    <t xml:space="preserve">СПО</t>
  </si>
  <si>
    <t xml:space="preserve">Cпуск КНБК (1ч). Опрессовка трубных плашек, ПУГ (1ч).</t>
  </si>
  <si>
    <t xml:space="preserve">м/ч
бур</t>
  </si>
  <si>
    <r>
      <rPr>
        <sz val="10"/>
        <color theme="1"/>
        <rFont val="Arial Narrow"/>
        <family val="2"/>
        <charset val="204"/>
      </rPr>
      <t xml:space="preserve">Разбурка оснастки (ЦКОД, цем.стакан, БК) </t>
    </r>
    <r>
      <rPr>
        <sz val="10"/>
        <color rgb="FFFF0000"/>
        <rFont val="Arial Narrow"/>
        <family val="2"/>
        <charset val="204"/>
      </rPr>
      <t xml:space="preserve">Чистка ЦСГО.</t>
    </r>
  </si>
  <si>
    <t xml:space="preserve">Н</t>
  </si>
  <si>
    <t xml:space="preserve">П</t>
  </si>
  <si>
    <t xml:space="preserve">Ф</t>
  </si>
  <si>
    <t xml:space="preserve">св</t>
  </si>
  <si>
    <t xml:space="preserve">наращ</t>
  </si>
  <si>
    <t xml:space="preserve">замер</t>
  </si>
  <si>
    <t xml:space="preserve">ориент</t>
  </si>
  <si>
    <t xml:space="preserve">Прор</t>
  </si>
  <si>
    <t xml:space="preserve">пром</t>
  </si>
  <si>
    <t xml:space="preserve">сум бур</t>
  </si>
  <si>
    <t xml:space="preserve">Бурение под кондуктор (прокачка укрепляющих пачек ч/з каждые 150-200м) </t>
  </si>
  <si>
    <t xml:space="preserve">Промывка за 50 м до Хантымансийской свиты</t>
  </si>
  <si>
    <r>
      <rPr>
        <sz val="10"/>
        <color theme="1"/>
        <rFont val="Arial Narrow"/>
        <family val="2"/>
        <charset val="204"/>
      </rPr>
      <t xml:space="preserve">Шаблонирование (подъем) </t>
    </r>
    <r>
      <rPr>
        <sz val="10"/>
        <color rgb="FFFF0000"/>
        <rFont val="Arial Narrow"/>
        <family val="2"/>
        <charset val="204"/>
      </rPr>
      <t xml:space="preserve">(по согласованию с РН по ТСБ)</t>
    </r>
  </si>
  <si>
    <r>
      <rPr>
        <sz val="10"/>
        <color theme="1"/>
        <rFont val="Arial Narrow"/>
        <family val="2"/>
        <charset val="204"/>
      </rPr>
      <t xml:space="preserve">Шаблонирование (спуск) </t>
    </r>
    <r>
      <rPr>
        <sz val="10"/>
        <color rgb="FFFF0000"/>
        <rFont val="Arial Narrow"/>
        <family val="2"/>
        <charset val="204"/>
      </rPr>
      <t xml:space="preserve">(по согласованию с РН по ТСБ)</t>
    </r>
  </si>
  <si>
    <r>
      <rPr>
        <sz val="10"/>
        <color theme="1"/>
        <rFont val="Arial Narrow"/>
        <family val="2"/>
        <charset val="204"/>
      </rPr>
      <t xml:space="preserve">Промывка. Обновление БР (замещение) </t>
    </r>
    <r>
      <rPr>
        <sz val="10"/>
        <color rgb="FFFF0000"/>
        <rFont val="Arial Narrow"/>
        <family val="2"/>
        <charset val="204"/>
      </rPr>
      <t xml:space="preserve">(по согласованию с РН по ТСБ)</t>
    </r>
  </si>
  <si>
    <t xml:space="preserve">Бурение под кондуктор наращ.св. (прокачка укрепляющих пачек ч/з каждые 150-200м) </t>
  </si>
  <si>
    <t xml:space="preserve">Промывка за 50 м до Алымской свиты </t>
  </si>
  <si>
    <t xml:space="preserve">Бурение под кондуктор наращ.св. (прокачка укрепляющих пачек ч/з каждые 150-200м)</t>
  </si>
  <si>
    <t xml:space="preserve">Промывка</t>
  </si>
  <si>
    <t xml:space="preserve">Шаблонировка. Подъем КНБК</t>
  </si>
  <si>
    <t xml:space="preserve">Шаблонировка. Спуск КНБК, промывки на 750м, 1500м, 2050м</t>
  </si>
  <si>
    <t xml:space="preserve">Промывка. Установка смазывающей пачки</t>
  </si>
  <si>
    <t xml:space="preserve">Подъем КНБК</t>
  </si>
  <si>
    <t xml:space="preserve">Вспомогательные работы</t>
  </si>
  <si>
    <t xml:space="preserve">ПЗР к спуску 178мм ОК</t>
  </si>
  <si>
    <t xml:space="preserve">Спуск 178мм ОК с промывками</t>
  </si>
  <si>
    <t xml:space="preserve">Цементирование 178мм ОК</t>
  </si>
  <si>
    <t xml:space="preserve">Перемонтаж (Демонтаж ПВО ( переоборудование устья скважины), чистка емкостей, вывоз/заготовка РУО</t>
  </si>
  <si>
    <t xml:space="preserve">Перемонтаж (Монтаж ПВО повторный (смена плашек ПВО), ЗБР, чистка емкостей, вывоз/заготовка РУО</t>
  </si>
  <si>
    <t xml:space="preserve">Опрессовка</t>
  </si>
  <si>
    <t xml:space="preserve">Опрессовка ПВО, глухие, заготовка РУО, Монтаж устьевого поддона</t>
  </si>
  <si>
    <t xml:space="preserve">Опрессовка трубных плашек,ПУГ (1,5 ч). Заготовка РУО</t>
  </si>
  <si>
    <t xml:space="preserve">Перетяжка талевого каната(6Ч) / замена. Обработка РУО, диспергация</t>
  </si>
  <si>
    <t xml:space="preserve">Сборка КНБК на бурение секции под хвостовик 127/114мм, заготовка БР</t>
  </si>
  <si>
    <t xml:space="preserve">Спуск КНБК со сборкой БИ 114 и промежуточными промывками,заготовка БР</t>
  </si>
  <si>
    <t xml:space="preserve">Промывка, перезапись гаммы</t>
  </si>
  <si>
    <t xml:space="preserve">сум</t>
  </si>
  <si>
    <t xml:space="preserve">v ср</t>
  </si>
  <si>
    <t xml:space="preserve">Перевод на РУО</t>
  </si>
  <si>
    <t xml:space="preserve">Разбурка оснастки (ЦКОД, цем.стакан, БК)</t>
  </si>
  <si>
    <t xml:space="preserve">Чистка ЦСГО</t>
  </si>
  <si>
    <t xml:space="preserve">Бурение до Т1-50 м (прокачка укрепляющих пачек ч/з каждые 100 м). </t>
  </si>
  <si>
    <t xml:space="preserve">Промывка 1,5 Ц</t>
  </si>
  <si>
    <t xml:space="preserve">Учебно-тренировочные занятия (УТЗ)</t>
  </si>
  <si>
    <t xml:space="preserve">Бурение горизонтального участка скважины (прокачка укрепляющих пачек ч/з каждые 100 м) </t>
  </si>
  <si>
    <t xml:space="preserve">НПВ №1. Внеплановое СПО (отказ т/с)</t>
  </si>
  <si>
    <t xml:space="preserve">Подъем БИ в БК Ø178мм</t>
  </si>
  <si>
    <t xml:space="preserve">Сборка ТБТ 102 для спуска ХВ (кол-во по согласованию с ЦУСС), опрессовка, установка на подсвечник</t>
  </si>
  <si>
    <t xml:space="preserve">Проработка в 2 этапа:
1 этап - прямая принудительная проработка;
2 этап - спуск на "сухую"(имитация спуска хвостовика)</t>
  </si>
  <si>
    <t xml:space="preserve">Промывка, прокачка ВУС</t>
  </si>
  <si>
    <t xml:space="preserve">Подъем КНБК, выброс СБТ-114 на мостки - 1500м (по согласованию с ЦУСС)</t>
  </si>
  <si>
    <t xml:space="preserve">ПЗР к спуску хвостовика</t>
  </si>
  <si>
    <t xml:space="preserve">Сборка хвостовика 127/114мм (согласно схеме)</t>
  </si>
  <si>
    <t xml:space="preserve">Спуск хвостовика 127/114мм на БИ свечами</t>
  </si>
  <si>
    <t xml:space="preserve">Активация оснастки, подвешивание хвостовика и окрытие цементировочных отверстий, разъединение уст.инструмента.
Закачка: тех.вода (V затр хв до МЦ)+шар+тех.вода (V тр хв до МЦ)+продавка БР - предварительно согласовать с ЦУСС</t>
  </si>
  <si>
    <t xml:space="preserve">Промывка. Перевод на Жидкость заканчивания</t>
  </si>
  <si>
    <t xml:space="preserve">Подъем БИ с выбросом на мостки</t>
  </si>
  <si>
    <t xml:space="preserve">Демонтаж ПВО </t>
  </si>
  <si>
    <t xml:space="preserve">Спуск стингера со сборкой БИ с мостков</t>
  </si>
  <si>
    <t xml:space="preserve">Заключительные работы</t>
  </si>
  <si>
    <t xml:space="preserve">Монтаж, опрессовка ФА</t>
  </si>
  <si>
    <t xml:space="preserve">ТО</t>
  </si>
  <si>
    <t xml:space="preserve"> 5% времени на ТО БУ</t>
  </si>
  <si>
    <t xml:space="preserve">Итого, сут.:</t>
  </si>
  <si>
    <t xml:space="preserve"> </t>
  </si>
  <si>
    <t xml:space="preserve">ЭЦН низ</t>
  </si>
  <si>
    <t xml:space="preserve">Супервайзер АО "НИПЦ ГНТ"</t>
  </si>
  <si>
    <t xml:space="preserve">Дата начала бурения</t>
  </si>
  <si>
    <t xml:space="preserve">Инт. 1</t>
  </si>
  <si>
    <t xml:space="preserve">Инт. 2</t>
  </si>
  <si>
    <t xml:space="preserve">Дата окончания</t>
  </si>
  <si>
    <t xml:space="preserve">РГ</t>
  </si>
  <si>
    <t xml:space="preserve">БнБ</t>
  </si>
  <si>
    <t xml:space="preserve">Время
Факт</t>
  </si>
  <si>
    <t xml:space="preserve">План для Бонуса</t>
  </si>
  <si>
    <t xml:space="preserve">Суммарное</t>
  </si>
  <si>
    <t xml:space="preserve">№ НПВ</t>
  </si>
  <si>
    <t xml:space="preserve">Год</t>
  </si>
  <si>
    <t xml:space="preserve">Месяц</t>
  </si>
  <si>
    <t xml:space="preserve">Дата начала НПВ</t>
  </si>
  <si>
    <t xml:space="preserve">Дата окончания НПВ</t>
  </si>
  <si>
    <t xml:space="preserve">№ скв</t>
  </si>
  <si>
    <t xml:space="preserve">№ куста</t>
  </si>
  <si>
    <t xml:space="preserve">М-е</t>
  </si>
  <si>
    <t xml:space="preserve">Вид НПВ</t>
  </si>
  <si>
    <t xml:space="preserve">Классификация</t>
  </si>
  <si>
    <t xml:space="preserve">Расшифровка НПВ</t>
  </si>
  <si>
    <t xml:space="preserve">Виновная сторона</t>
  </si>
  <si>
    <t xml:space="preserve">НПВ, Простой, час</t>
  </si>
  <si>
    <t xml:space="preserve">август</t>
  </si>
  <si>
    <t xml:space="preserve">06.08.2024 15:00
06.08.2024 16:00</t>
  </si>
  <si>
    <r>
      <rPr>
        <sz val="10"/>
        <rFont val="Calibri"/>
        <family val="2"/>
        <charset val="204"/>
      </rPr>
      <t xml:space="preserve">06.08.2024 15:30
</t>
    </r>
    <r>
      <rPr>
        <sz val="10"/>
        <color rgb="FFFF0000"/>
        <rFont val="Calibri"/>
        <family val="2"/>
        <charset val="204"/>
      </rPr>
      <t xml:space="preserve">06.08.2024 16:00</t>
    </r>
  </si>
  <si>
    <t xml:space="preserve">43820ГС</t>
  </si>
  <si>
    <t xml:space="preserve">134В.1</t>
  </si>
  <si>
    <t xml:space="preserve">Потеря сигнала Т/С</t>
  </si>
  <si>
    <t xml:space="preserve">Простои</t>
  </si>
  <si>
    <t xml:space="preserve">Не запланированное СПО в связи с отсутствием сигнала Т/С.</t>
  </si>
  <si>
    <t xml:space="preserve">ООО "НПП "Буринтех"</t>
  </si>
  <si>
    <t xml:space="preserve">Общее НПВ по скв</t>
  </si>
  <si>
    <t xml:space="preserve">Распределение НПВ по типам</t>
  </si>
  <si>
    <t xml:space="preserve">распределение НПВ по типам</t>
  </si>
  <si>
    <t xml:space="preserve">Аварии</t>
  </si>
  <si>
    <t xml:space="preserve">Осложнения</t>
  </si>
  <si>
    <t xml:space="preserve">Геологические осложнения</t>
  </si>
  <si>
    <t xml:space="preserve">Ликв.брака</t>
  </si>
  <si>
    <t xml:space="preserve">Простои
метео</t>
  </si>
  <si>
    <t xml:space="preserve">Ремонт ББ</t>
  </si>
  <si>
    <t xml:space="preserve">НПВ 1</t>
  </si>
  <si>
    <t xml:space="preserve">НПВ 2</t>
  </si>
  <si>
    <t xml:space="preserve">итого</t>
  </si>
  <si>
    <t xml:space="preserve">Распределение НПВ по ПО</t>
  </si>
  <si>
    <t xml:space="preserve">распределение НПВ по ПО (можно менять нименования)</t>
  </si>
  <si>
    <t xml:space="preserve">ООО "НТ-Сервис"</t>
  </si>
  <si>
    <t xml:space="preserve">НФ ООО "БКЕ"</t>
  </si>
  <si>
    <t xml:space="preserve">ООО "Траектория-сервис"</t>
  </si>
  <si>
    <t xml:space="preserve">АО "НПП "Бурсервис"</t>
  </si>
  <si>
    <t xml:space="preserve">ООО "Бренд Фактор"</t>
  </si>
  <si>
    <t xml:space="preserve">ООО "НОРД-СЕРВИС"</t>
  </si>
  <si>
    <t xml:space="preserve">ООО "Зенит-Сервис"</t>
  </si>
  <si>
    <t xml:space="preserve">ПО 1</t>
  </si>
  <si>
    <t xml:space="preserve">ПО 2</t>
  </si>
  <si>
    <t xml:space="preserve">ПО 3</t>
  </si>
  <si>
    <t xml:space="preserve">ПО 4</t>
  </si>
  <si>
    <t xml:space="preserve">ГПНХ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</si>
</sst>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_-* #,##0.00\ _₽_-;\-* #,##0.00\ _₽_-;_-* \-??\ _₽_-;_-@_-"/>
    <numFmt numFmtId="166" formatCode="dd/mm/yyyy\ h:mm"/>
    <numFmt numFmtId="167" formatCode="dd/mm/yy\ h:mm;@"/>
    <numFmt numFmtId="168" formatCode="@"/>
    <numFmt numFmtId="169" formatCode="0"/>
    <numFmt numFmtId="170" formatCode="General"/>
    <numFmt numFmtId="171" formatCode="0.00"/>
    <numFmt numFmtId="172" formatCode="0%"/>
    <numFmt numFmtId="173" formatCode="0.00%"/>
    <numFmt numFmtId="174" formatCode="0.0"/>
  </numFmts>
  <fonts count="38">
    <font>
      <sz val="11"/>
      <color theme="1"/>
      <name val="Calibri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2"/>
      <charset val="204"/>
    </font>
    <font>
      <sz val="10"/>
      <color theme="1"/>
      <name val="Arial Narrow"/>
      <family val="2"/>
      <charset val="204"/>
    </font>
    <font>
      <sz val="10"/>
      <color theme="3"/>
      <name val="Arial Narrow"/>
      <family val="2"/>
      <charset val="204"/>
    </font>
    <font>
      <b val="true"/>
      <sz val="12"/>
      <color theme="1"/>
      <name val="Arial Narrow"/>
      <family val="2"/>
      <charset val="204"/>
    </font>
    <font>
      <b val="true"/>
      <sz val="10"/>
      <color theme="1"/>
      <name val="Arial Narrow"/>
      <family val="2"/>
      <charset val="204"/>
    </font>
    <font>
      <sz val="11"/>
      <color theme="1"/>
      <name val="Arial Narrow"/>
      <family val="2"/>
      <charset val="204"/>
    </font>
    <font>
      <sz val="10"/>
      <name val="Arial Narrow"/>
      <family val="2"/>
      <charset val="204"/>
    </font>
    <font>
      <sz val="10"/>
      <color rgb="FFFF0000"/>
      <name val="Arial Narrow"/>
      <family val="2"/>
      <charset val="204"/>
    </font>
    <font>
      <b val="true"/>
      <i val="true"/>
      <sz val="10"/>
      <color theme="1"/>
      <name val="Arial Narrow"/>
      <family val="2"/>
      <charset val="204"/>
    </font>
    <font>
      <b val="true"/>
      <sz val="10"/>
      <name val="Arial Narrow"/>
      <family val="2"/>
      <charset val="204"/>
    </font>
    <font>
      <i val="true"/>
      <sz val="10"/>
      <color theme="3"/>
      <name val="Arial Narrow"/>
      <family val="2"/>
      <charset val="204"/>
    </font>
    <font>
      <sz val="11"/>
      <name val="Arial Narrow"/>
      <family val="2"/>
      <charset val="204"/>
    </font>
    <font>
      <b val="true"/>
      <sz val="10"/>
      <color rgb="FF000000"/>
      <name val="Arial"/>
      <family val="0"/>
      <charset val="204"/>
    </font>
    <font>
      <sz val="10"/>
      <color rgb="FF000000"/>
      <name val="Arial"/>
      <family val="0"/>
      <charset val="204"/>
    </font>
    <font>
      <b val="true"/>
      <sz val="16"/>
      <color theme="1"/>
      <name val="Arial Narrow"/>
      <family val="2"/>
      <charset val="204"/>
    </font>
    <font>
      <b val="true"/>
      <sz val="11"/>
      <color theme="1"/>
      <name val="Arial Narrow"/>
      <family val="2"/>
      <charset val="204"/>
    </font>
    <font>
      <sz val="9"/>
      <color theme="1"/>
      <name val="Arial Narrow"/>
      <family val="2"/>
      <charset val="204"/>
    </font>
    <font>
      <b val="true"/>
      <sz val="10.5"/>
      <color rgb="FF000000"/>
      <name val="Arial"/>
      <family val="0"/>
      <charset val="204"/>
    </font>
    <font>
      <sz val="10.5"/>
      <color rgb="FF000000"/>
      <name val="Arial"/>
      <family val="0"/>
      <charset val="204"/>
    </font>
    <font>
      <sz val="12"/>
      <name val="Arial Narrow"/>
      <family val="2"/>
      <charset val="204"/>
    </font>
    <font>
      <b val="true"/>
      <sz val="16"/>
      <color rgb="FF595959"/>
      <name val="Calibri"/>
      <family val="2"/>
    </font>
    <font>
      <sz val="9"/>
      <color rgb="FF595959"/>
      <name val="Calibri"/>
      <family val="2"/>
    </font>
    <font>
      <b val="true"/>
      <sz val="10"/>
      <name val="Arial Cyr"/>
      <family val="0"/>
      <charset val="1"/>
    </font>
    <font>
      <sz val="10"/>
      <color theme="1"/>
      <name val="Calibri"/>
      <family val="2"/>
      <charset val="204"/>
    </font>
    <font>
      <sz val="11"/>
      <color theme="1"/>
      <name val="Calibri"/>
      <family val="2"/>
      <charset val="204"/>
    </font>
    <font>
      <sz val="10"/>
      <name val="Calibri"/>
      <family val="2"/>
      <charset val="204"/>
    </font>
    <font>
      <sz val="10"/>
      <color rgb="FFFF0000"/>
      <name val="Calibri"/>
      <family val="2"/>
      <charset val="204"/>
    </font>
    <font>
      <sz val="11"/>
      <name val="Calibri"/>
      <family val="2"/>
      <charset val="204"/>
    </font>
    <font>
      <b val="true"/>
      <sz val="10"/>
      <color theme="1"/>
      <name val="Calibri"/>
      <family val="2"/>
      <charset val="204"/>
    </font>
    <font>
      <b val="true"/>
      <sz val="11"/>
      <color rgb="FFFF0000"/>
      <name val="Calibri"/>
      <family val="2"/>
      <charset val="204"/>
    </font>
    <font>
      <b val="true"/>
      <sz val="11"/>
      <color theme="1"/>
      <name val="Calibri"/>
      <family val="2"/>
      <charset val="204"/>
    </font>
    <font>
      <sz val="9"/>
      <name val="Tahoma"/>
      <family val="2"/>
      <charset val="204"/>
    </font>
    <font>
      <sz val="14"/>
      <color rgb="FF595959"/>
      <name val="Calibri"/>
      <family val="2"/>
    </font>
    <font>
      <sz val="9"/>
      <color rgb="FF40404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E7FAFD"/>
      </patternFill>
    </fill>
    <fill>
      <patternFill patternType="solid">
        <fgColor rgb="FFE7FAFD"/>
        <bgColor rgb="FFDBEEF4"/>
      </patternFill>
    </fill>
    <fill>
      <patternFill patternType="solid">
        <fgColor rgb="FFDAEEF3"/>
        <bgColor rgb="FFDBEEF4"/>
      </patternFill>
    </fill>
    <fill>
      <patternFill patternType="solid">
        <fgColor theme="8" tint="0.7999"/>
        <bgColor rgb="FFDAEEF3"/>
      </patternFill>
    </fill>
    <fill>
      <patternFill patternType="solid">
        <fgColor rgb="FFEFF1DB"/>
        <bgColor rgb="FFE7FAFD"/>
      </patternFill>
    </fill>
    <fill>
      <patternFill patternType="solid">
        <fgColor theme="7" tint="0.7999"/>
        <bgColor rgb="FFD9D9D9"/>
      </patternFill>
    </fill>
    <fill>
      <patternFill patternType="solid">
        <fgColor theme="2" tint="-0.1"/>
        <bgColor rgb="FFD9D9D9"/>
      </patternFill>
    </fill>
    <fill>
      <patternFill patternType="solid">
        <fgColor rgb="FFFFFF99"/>
        <bgColor rgb="FFEFF1DB"/>
      </patternFill>
    </fill>
    <fill>
      <patternFill patternType="solid">
        <fgColor rgb="FF00B050"/>
        <bgColor rgb="FF008080"/>
      </patternFill>
    </fill>
  </fills>
  <borders count="49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hair"/>
      <top style="medium"/>
      <bottom style="thin"/>
      <diagonal/>
    </border>
    <border diagonalUp="false" diagonalDown="false">
      <left style="hair"/>
      <right style="thin"/>
      <top style="medium"/>
      <bottom style="thin"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72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2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5" fillId="2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5" borderId="1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5" borderId="1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5" fillId="2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5" borderId="1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9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5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5" fillId="2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5" fillId="6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5" fillId="6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5" fillId="2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5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5" fillId="0" borderId="2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5" fillId="2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2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5" borderId="1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1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5" fillId="2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8" fillId="6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3" fontId="5" fillId="6" borderId="19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2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5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2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5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2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3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3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6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3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2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3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0" borderId="3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3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7" borderId="3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3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5" fillId="5" borderId="3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3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3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3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5" fillId="7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5" fillId="7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7" borderId="3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1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1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1" fontId="11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1" fontId="5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71" fontId="12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5" fillId="2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0" fillId="7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1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1" fontId="11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1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74" fontId="5" fillId="2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5" fillId="2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5" fillId="2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8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11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71" fontId="11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74" fontId="5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5" fillId="7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5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5" fillId="0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5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5" fillId="7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3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2" fillId="2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5" fillId="2" borderId="3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3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8" borderId="18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0" borderId="3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2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0" fillId="2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5" fillId="0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0" borderId="2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5" fillId="7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7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3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3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3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8" fillId="0" borderId="3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3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8" fillId="0" borderId="3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0" borderId="3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3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3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3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3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3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3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5" fillId="0" borderId="3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7" fillId="4" borderId="4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7" fillId="4" borderId="4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33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5" fillId="0" borderId="42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5" fillId="0" borderId="43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20" fillId="0" borderId="33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5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5" fillId="0" borderId="4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4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5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9" fillId="4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9" fillId="4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9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9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9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9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3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9" fillId="7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9" fillId="7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4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23" fillId="7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9" fillId="0" borderId="4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3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9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6" fillId="10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6" fillId="9" borderId="18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74" fontId="26" fillId="9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6" fillId="0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4" fontId="26" fillId="0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9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31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8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31" fillId="2" borderId="18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31" fillId="2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0" borderId="18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0" fillId="2" borderId="18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2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2" fillId="0" borderId="3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33" fillId="0" borderId="3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71" fontId="33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33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0" borderId="18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tas 44 2 17 2 2" xfId="20"/>
    <cellStyle name="Обычный 46" xfId="21"/>
  </cellStyles>
  <dxfs count="18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6E0E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BEEF4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00B050"/>
          <bgColor rgb="FF000000"/>
        </patternFill>
      </fill>
    </dxf>
    <dxf>
      <fill>
        <patternFill patternType="solid">
          <fgColor rgb="FFDDD9C3"/>
          <bgColor rgb="FF000000"/>
        </patternFill>
      </fill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b val="1"/>
        <i val="0"/>
        <color rgb="FF00B050"/>
      </font>
    </dxf>
    <dxf>
      <font>
        <b val="1"/>
        <i val="0"/>
        <strike val="0"/>
        <color rgb="FFFF0000"/>
      </font>
    </dxf>
    <dxf>
      <font>
        <color rgb="FFFF0000"/>
      </font>
    </dxf>
    <dxf>
      <font>
        <color rgb="FF00B050"/>
      </font>
    </dxf>
    <dxf>
      <font>
        <color rgb="FF9C0006"/>
      </font>
    </dxf>
    <dxf>
      <font>
        <color rgb="FF00B050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5F7530"/>
      <rgbColor rgb="FF800080"/>
      <rgbColor rgb="FF276A7C"/>
      <rgbColor rgb="FFDDD9C3"/>
      <rgbColor rgb="FF4F81BD"/>
      <rgbColor rgb="FF9999FF"/>
      <rgbColor rgb="FFC0504D"/>
      <rgbColor rgb="FFEFF1DB"/>
      <rgbColor rgb="FFE7FAFD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AEEF3"/>
      <rgbColor rgb="FFDBEEF4"/>
      <rgbColor rgb="FFFFFF99"/>
      <rgbColor rgb="FF99CCFF"/>
      <rgbColor rgb="FFFF99CC"/>
      <rgbColor rgb="FFCC99FF"/>
      <rgbColor rgb="FFE6E0EC"/>
      <rgbColor rgb="FF3366FF"/>
      <rgbColor rgb="FF4BACC6"/>
      <rgbColor rgb="FF9BBB59"/>
      <rgbColor rgb="FFFFCC00"/>
      <rgbColor rgb="FFF79646"/>
      <rgbColor rgb="FFB65708"/>
      <rgbColor rgb="FF8064A2"/>
      <rgbColor rgb="FF729ACA"/>
      <rgbColor rgb="FF2C4D75"/>
      <rgbColor rgb="FF00B050"/>
      <rgbColor rgb="FF003300"/>
      <rgbColor rgb="FF4D3B62"/>
      <rgbColor rgb="FF772C2A"/>
      <rgbColor rgb="FF595959"/>
      <rgbColor rgb="FF1F497D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ru-RU" sz="1600" spc="117" strike="noStrike">
                <a:solidFill>
                  <a:srgbClr val="595959"/>
                </a:solidFill>
                <a:latin typeface="Calibri"/>
                <a:ea typeface="Arial"/>
              </a:defRPr>
            </a:pPr>
            <a:r>
              <a:rPr b="1" lang="ru-RU" sz="1600" spc="117" strike="noStrike">
                <a:solidFill>
                  <a:srgbClr val="595959"/>
                </a:solidFill>
                <a:latin typeface="Calibri"/>
                <a:ea typeface="Arial"/>
              </a:rPr>
              <a:t>График глубина день по скважине 43820 КП 134В.1 ЮПМ</a:t>
            </a:r>
          </a:p>
        </c:rich>
      </c:tx>
      <c:layout>
        <c:manualLayout>
          <c:xMode val="edge"/>
          <c:yMode val="edge"/>
          <c:x val="0.268520046196997"/>
          <c:y val="0.0163712317940612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339877907935984"/>
          <c:y val="0.123461668736593"/>
          <c:w val="0.949980751251169"/>
          <c:h val="0.796996725753641"/>
        </c:manualLayout>
      </c:layout>
      <c:scatterChart>
        <c:scatterStyle val="line"/>
        <c:varyColors val="0"/>
        <c:ser>
          <c:idx val="0"/>
          <c:order val="0"/>
          <c:tx>
            <c:strRef>
              <c:f>Графики!$Z$4</c:f>
              <c:strCache>
                <c:ptCount val="1"/>
                <c:pt idx="0">
                  <c:v>Время</c:v>
                </c:pt>
              </c:strCache>
            </c:strRef>
          </c:tx>
          <c:spPr>
            <a:solidFill>
              <a:srgbClr val="4f81bd"/>
            </a:solidFill>
            <a:ln cap="rnd" w="22320">
              <a:solidFill>
                <a:srgbClr val="4f81b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Графики!$AA$6:$AA$110</c:f>
              <c:numCache>
                <c:formatCode>General</c:formatCode>
                <c:ptCount val="105"/>
                <c:pt idx="0">
                  <c:v>0.0208333333333333</c:v>
                </c:pt>
                <c:pt idx="1">
                  <c:v>0.104166666666667</c:v>
                </c:pt>
                <c:pt idx="2">
                  <c:v>0.145833333333333</c:v>
                </c:pt>
                <c:pt idx="3">
                  <c:v>0.166666666666667</c:v>
                </c:pt>
                <c:pt idx="4">
                  <c:v>0.1875</c:v>
                </c:pt>
                <c:pt idx="5">
                  <c:v>0.270833333333333</c:v>
                </c:pt>
                <c:pt idx="6">
                  <c:v>0.291666666666667</c:v>
                </c:pt>
                <c:pt idx="7">
                  <c:v>0.354166666666667</c:v>
                </c:pt>
                <c:pt idx="8">
                  <c:v>0.6875</c:v>
                </c:pt>
                <c:pt idx="9">
                  <c:v>1</c:v>
                </c:pt>
                <c:pt idx="10">
                  <c:v>1.125</c:v>
                </c:pt>
                <c:pt idx="11">
                  <c:v>1.20833333333333</c:v>
                </c:pt>
                <c:pt idx="12">
                  <c:v>1.29166666666667</c:v>
                </c:pt>
                <c:pt idx="13">
                  <c:v>2.625</c:v>
                </c:pt>
                <c:pt idx="14">
                  <c:v>2.72916666666667</c:v>
                </c:pt>
                <c:pt idx="15">
                  <c:v>3.02083333333333</c:v>
                </c:pt>
                <c:pt idx="16">
                  <c:v>3.27083333333333</c:v>
                </c:pt>
                <c:pt idx="17">
                  <c:v>3.35416666666667</c:v>
                </c:pt>
                <c:pt idx="18">
                  <c:v>4.77083333333333</c:v>
                </c:pt>
                <c:pt idx="19">
                  <c:v>4.85416666666667</c:v>
                </c:pt>
                <c:pt idx="20">
                  <c:v>6.27083333333333</c:v>
                </c:pt>
                <c:pt idx="21">
                  <c:v>6.39583333333333</c:v>
                </c:pt>
                <c:pt idx="22">
                  <c:v>6.8125</c:v>
                </c:pt>
                <c:pt idx="23">
                  <c:v>7.1875</c:v>
                </c:pt>
                <c:pt idx="24">
                  <c:v>7.3125</c:v>
                </c:pt>
                <c:pt idx="25">
                  <c:v>7.6875</c:v>
                </c:pt>
                <c:pt idx="26">
                  <c:v>7.8125</c:v>
                </c:pt>
                <c:pt idx="27">
                  <c:v>7.85416666666667</c:v>
                </c:pt>
                <c:pt idx="28">
                  <c:v>8.60416666666667</c:v>
                </c:pt>
                <c:pt idx="29">
                  <c:v>8.6875</c:v>
                </c:pt>
                <c:pt idx="30">
                  <c:v>8.85416666666667</c:v>
                </c:pt>
                <c:pt idx="31">
                  <c:v>9.02083333333333</c:v>
                </c:pt>
                <c:pt idx="32">
                  <c:v>9.27083333333333</c:v>
                </c:pt>
                <c:pt idx="33">
                  <c:v>9.375</c:v>
                </c:pt>
                <c:pt idx="34">
                  <c:v>9.95833333333333</c:v>
                </c:pt>
                <c:pt idx="35">
                  <c:v>12.2083333333333</c:v>
                </c:pt>
                <c:pt idx="36">
                  <c:v>12.4166666666667</c:v>
                </c:pt>
                <c:pt idx="37">
                  <c:v>13.0833333333333</c:v>
                </c:pt>
                <c:pt idx="38">
                  <c:v>13.1666666666667</c:v>
                </c:pt>
                <c:pt idx="39">
                  <c:v>13.2916666666667</c:v>
                </c:pt>
                <c:pt idx="40">
                  <c:v>13.375</c:v>
                </c:pt>
                <c:pt idx="41">
                  <c:v>13.4166666666667</c:v>
                </c:pt>
                <c:pt idx="42">
                  <c:v>15.3333333333333</c:v>
                </c:pt>
                <c:pt idx="43">
                  <c:v>15.4166666666667</c:v>
                </c:pt>
                <c:pt idx="44">
                  <c:v>15.4583333333333</c:v>
                </c:pt>
                <c:pt idx="45">
                  <c:v>20.875</c:v>
                </c:pt>
                <c:pt idx="46">
                  <c:v>21</c:v>
                </c:pt>
                <c:pt idx="47">
                  <c:v>21.2916666666667</c:v>
                </c:pt>
                <c:pt idx="48">
                  <c:v>21.2916666666667</c:v>
                </c:pt>
                <c:pt idx="49">
                  <c:v>22.7083333333333</c:v>
                </c:pt>
                <c:pt idx="50">
                  <c:v>22.8541666666667</c:v>
                </c:pt>
                <c:pt idx="51">
                  <c:v>23.4375</c:v>
                </c:pt>
                <c:pt idx="52">
                  <c:v>23.6041666666667</c:v>
                </c:pt>
                <c:pt idx="53">
                  <c:v>23.6458333333333</c:v>
                </c:pt>
                <c:pt idx="54">
                  <c:v>24.1458333333333</c:v>
                </c:pt>
                <c:pt idx="55">
                  <c:v>24.6458333333333</c:v>
                </c:pt>
                <c:pt idx="56">
                  <c:v>24.7291666666667</c:v>
                </c:pt>
                <c:pt idx="57">
                  <c:v>24.9791666666667</c:v>
                </c:pt>
                <c:pt idx="58">
                  <c:v>25.1041666666667</c:v>
                </c:pt>
                <c:pt idx="59">
                  <c:v>25.5208333333333</c:v>
                </c:pt>
                <c:pt idx="60">
                  <c:v>25.6875</c:v>
                </c:pt>
                <c:pt idx="61">
                  <c:v>26.6875</c:v>
                </c:pt>
                <c:pt idx="62">
                  <c:v>26.8125</c:v>
                </c:pt>
              </c:numCache>
            </c:numRef>
          </c:xVal>
          <c:yVal>
            <c:numRef>
              <c:f>Графики!$Y$6:$Y$110</c:f>
              <c:numCache>
                <c:formatCode>General</c:formatCode>
                <c:ptCount val="105"/>
                <c:pt idx="1">
                  <c:v>80</c:v>
                </c:pt>
                <c:pt idx="2">
                  <c:v>80</c:v>
                </c:pt>
                <c:pt idx="3">
                  <c:v>80</c:v>
                </c:pt>
                <c:pt idx="4">
                  <c:v>80</c:v>
                </c:pt>
                <c:pt idx="5">
                  <c:v>80</c:v>
                </c:pt>
                <c:pt idx="6">
                  <c:v>80</c:v>
                </c:pt>
                <c:pt idx="7">
                  <c:v>80</c:v>
                </c:pt>
                <c:pt idx="8">
                  <c:v>80</c:v>
                </c:pt>
                <c:pt idx="9">
                  <c:v>80</c:v>
                </c:pt>
                <c:pt idx="10">
                  <c:v>80</c:v>
                </c:pt>
                <c:pt idx="11">
                  <c:v>80</c:v>
                </c:pt>
                <c:pt idx="12">
                  <c:v>82</c:v>
                </c:pt>
                <c:pt idx="13">
                  <c:v>1500</c:v>
                </c:pt>
                <c:pt idx="14">
                  <c:v>1500</c:v>
                </c:pt>
                <c:pt idx="15">
                  <c:v>1500</c:v>
                </c:pt>
                <c:pt idx="16">
                  <c:v>1500</c:v>
                </c:pt>
                <c:pt idx="17">
                  <c:v>1500</c:v>
                </c:pt>
                <c:pt idx="18">
                  <c:v>2100</c:v>
                </c:pt>
                <c:pt idx="19">
                  <c:v>2060</c:v>
                </c:pt>
                <c:pt idx="20">
                  <c:v>2543.15</c:v>
                </c:pt>
                <c:pt idx="21">
                  <c:v>2543.15</c:v>
                </c:pt>
                <c:pt idx="22">
                  <c:v>2543.15</c:v>
                </c:pt>
                <c:pt idx="23">
                  <c:v>2543.15</c:v>
                </c:pt>
                <c:pt idx="24">
                  <c:v>2543.15</c:v>
                </c:pt>
                <c:pt idx="25">
                  <c:v>2543.15</c:v>
                </c:pt>
                <c:pt idx="26">
                  <c:v>2543.15</c:v>
                </c:pt>
                <c:pt idx="27">
                  <c:v>2543.15</c:v>
                </c:pt>
                <c:pt idx="28">
                  <c:v>2543.15</c:v>
                </c:pt>
                <c:pt idx="29">
                  <c:v>2543.15</c:v>
                </c:pt>
                <c:pt idx="30">
                  <c:v>2543.15</c:v>
                </c:pt>
                <c:pt idx="31">
                  <c:v>2543.15</c:v>
                </c:pt>
                <c:pt idx="32">
                  <c:v>2543.15</c:v>
                </c:pt>
                <c:pt idx="33">
                  <c:v>2543.15</c:v>
                </c:pt>
                <c:pt idx="34">
                  <c:v>2543.15</c:v>
                </c:pt>
                <c:pt idx="35">
                  <c:v>2543.15</c:v>
                </c:pt>
                <c:pt idx="36">
                  <c:v>2543.15</c:v>
                </c:pt>
                <c:pt idx="37">
                  <c:v>2543.15</c:v>
                </c:pt>
                <c:pt idx="38">
                  <c:v>2543.15</c:v>
                </c:pt>
                <c:pt idx="39">
                  <c:v>2543.15</c:v>
                </c:pt>
                <c:pt idx="40">
                  <c:v>2543.15</c:v>
                </c:pt>
                <c:pt idx="41">
                  <c:v>2543.15</c:v>
                </c:pt>
                <c:pt idx="42">
                  <c:v>3110</c:v>
                </c:pt>
                <c:pt idx="43">
                  <c:v>3110</c:v>
                </c:pt>
                <c:pt idx="44">
                  <c:v>3110</c:v>
                </c:pt>
                <c:pt idx="45">
                  <c:v>4660</c:v>
                </c:pt>
                <c:pt idx="46">
                  <c:v>4660</c:v>
                </c:pt>
                <c:pt idx="47">
                  <c:v>4660</c:v>
                </c:pt>
                <c:pt idx="48">
                  <c:v>4660</c:v>
                </c:pt>
                <c:pt idx="49">
                  <c:v>4660</c:v>
                </c:pt>
                <c:pt idx="50">
                  <c:v>4660</c:v>
                </c:pt>
                <c:pt idx="51">
                  <c:v>4660</c:v>
                </c:pt>
                <c:pt idx="52">
                  <c:v>4660</c:v>
                </c:pt>
                <c:pt idx="53">
                  <c:v>4660</c:v>
                </c:pt>
                <c:pt idx="54">
                  <c:v>4660</c:v>
                </c:pt>
                <c:pt idx="55">
                  <c:v>4660</c:v>
                </c:pt>
                <c:pt idx="56">
                  <c:v>4660</c:v>
                </c:pt>
                <c:pt idx="57">
                  <c:v>4660</c:v>
                </c:pt>
                <c:pt idx="58">
                  <c:v>4660</c:v>
                </c:pt>
                <c:pt idx="59">
                  <c:v>4660</c:v>
                </c:pt>
                <c:pt idx="60">
                  <c:v>4660</c:v>
                </c:pt>
                <c:pt idx="61">
                  <c:v>4660</c:v>
                </c:pt>
                <c:pt idx="62">
                  <c:v>4660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Графики!$AC$4</c:f>
              <c:strCache>
                <c:ptCount val="1"/>
                <c:pt idx="0">
                  <c:v>Факт/прогноз</c:v>
                </c:pt>
              </c:strCache>
            </c:strRef>
          </c:tx>
          <c:spPr>
            <a:solidFill>
              <a:srgbClr val="c0504d"/>
            </a:solidFill>
            <a:ln cap="rnd" w="22320">
              <a:solidFill>
                <a:srgbClr val="c0504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Графики!$AD$6:$AD$110</c:f>
              <c:numCache>
                <c:formatCode>General</c:formatCode>
                <c:ptCount val="105"/>
                <c:pt idx="0">
                  <c:v>0.0104166666666667</c:v>
                </c:pt>
                <c:pt idx="1">
                  <c:v>0.0520833333333333</c:v>
                </c:pt>
                <c:pt idx="2">
                  <c:v>0.0729166666666667</c:v>
                </c:pt>
                <c:pt idx="3">
                  <c:v>0.09375</c:v>
                </c:pt>
                <c:pt idx="4">
                  <c:v>0.104166666666667</c:v>
                </c:pt>
                <c:pt idx="5">
                  <c:v>0.15625</c:v>
                </c:pt>
                <c:pt idx="6">
                  <c:v>0.166666666666667</c:v>
                </c:pt>
                <c:pt idx="7">
                  <c:v>0.208333333333333</c:v>
                </c:pt>
                <c:pt idx="8">
                  <c:v>0.416666666666667</c:v>
                </c:pt>
                <c:pt idx="9">
                  <c:v>0.5</c:v>
                </c:pt>
                <c:pt idx="10">
                  <c:v>0.583333333333333</c:v>
                </c:pt>
                <c:pt idx="11">
                  <c:v>0.614583333333333</c:v>
                </c:pt>
                <c:pt idx="12">
                  <c:v>0.625</c:v>
                </c:pt>
                <c:pt idx="13">
                  <c:v>1.65625</c:v>
                </c:pt>
                <c:pt idx="14">
                  <c:v>1.67708333333333</c:v>
                </c:pt>
                <c:pt idx="15">
                  <c:v>1.67708333333333</c:v>
                </c:pt>
                <c:pt idx="16">
                  <c:v>1.67708333333333</c:v>
                </c:pt>
                <c:pt idx="17">
                  <c:v>1.67708333333333</c:v>
                </c:pt>
                <c:pt idx="18">
                  <c:v>2.66666666666667</c:v>
                </c:pt>
                <c:pt idx="19">
                  <c:v>2.6875</c:v>
                </c:pt>
                <c:pt idx="20">
                  <c:v>3.84375</c:v>
                </c:pt>
                <c:pt idx="21">
                  <c:v>3.91666666666667</c:v>
                </c:pt>
                <c:pt idx="22">
                  <c:v>4.09375</c:v>
                </c:pt>
                <c:pt idx="23">
                  <c:v>4.25</c:v>
                </c:pt>
                <c:pt idx="24">
                  <c:v>4.39583333333333</c:v>
                </c:pt>
                <c:pt idx="25">
                  <c:v>4.84375</c:v>
                </c:pt>
                <c:pt idx="26">
                  <c:v>4.89583333333333</c:v>
                </c:pt>
                <c:pt idx="27">
                  <c:v>4.9375</c:v>
                </c:pt>
                <c:pt idx="28">
                  <c:v>5.47916666666667</c:v>
                </c:pt>
                <c:pt idx="29">
                  <c:v>5.5625</c:v>
                </c:pt>
                <c:pt idx="30">
                  <c:v>5.72916666666667</c:v>
                </c:pt>
                <c:pt idx="31">
                  <c:v>5.8125</c:v>
                </c:pt>
                <c:pt idx="32">
                  <c:v>5.89583333333333</c:v>
                </c:pt>
                <c:pt idx="33">
                  <c:v>5.97916666666667</c:v>
                </c:pt>
                <c:pt idx="34">
                  <c:v>6.0625</c:v>
                </c:pt>
                <c:pt idx="35">
                  <c:v>7.59375</c:v>
                </c:pt>
                <c:pt idx="36">
                  <c:v>7.76041666666667</c:v>
                </c:pt>
                <c:pt idx="37">
                  <c:v>7.96875</c:v>
                </c:pt>
                <c:pt idx="38">
                  <c:v>7.96875</c:v>
                </c:pt>
                <c:pt idx="39">
                  <c:v>8.09375</c:v>
                </c:pt>
                <c:pt idx="40">
                  <c:v>8.17708333333333</c:v>
                </c:pt>
                <c:pt idx="41">
                  <c:v>8.21875</c:v>
                </c:pt>
                <c:pt idx="42">
                  <c:v>9.65625</c:v>
                </c:pt>
                <c:pt idx="43">
                  <c:v>9.6875</c:v>
                </c:pt>
                <c:pt idx="44">
                  <c:v>9.70833333333333</c:v>
                </c:pt>
                <c:pt idx="45">
                  <c:v>11.625</c:v>
                </c:pt>
                <c:pt idx="46">
                  <c:v>11.75</c:v>
                </c:pt>
                <c:pt idx="47">
                  <c:v>12.0416666666667</c:v>
                </c:pt>
                <c:pt idx="48">
                  <c:v>12.0416666666667</c:v>
                </c:pt>
                <c:pt idx="49">
                  <c:v>13.4583333333333</c:v>
                </c:pt>
                <c:pt idx="50">
                  <c:v>13.6041666666667</c:v>
                </c:pt>
                <c:pt idx="51">
                  <c:v>14.1875</c:v>
                </c:pt>
                <c:pt idx="52">
                  <c:v>14.3541666666667</c:v>
                </c:pt>
                <c:pt idx="53">
                  <c:v>14.3958333333333</c:v>
                </c:pt>
                <c:pt idx="54">
                  <c:v>14.8958333333333</c:v>
                </c:pt>
                <c:pt idx="55">
                  <c:v>15.3958333333333</c:v>
                </c:pt>
                <c:pt idx="56">
                  <c:v>15.4791666666667</c:v>
                </c:pt>
                <c:pt idx="57">
                  <c:v>15.7291666666667</c:v>
                </c:pt>
                <c:pt idx="58">
                  <c:v>15.8541666666667</c:v>
                </c:pt>
                <c:pt idx="59">
                  <c:v>16.2708333333333</c:v>
                </c:pt>
                <c:pt idx="60">
                  <c:v>16.4375</c:v>
                </c:pt>
                <c:pt idx="61">
                  <c:v>17.4375</c:v>
                </c:pt>
                <c:pt idx="62">
                  <c:v>17.5625</c:v>
                </c:pt>
              </c:numCache>
            </c:numRef>
          </c:xVal>
          <c:yVal>
            <c:numRef>
              <c:f>Графики!$AB$6:$AB$110</c:f>
              <c:numCache>
                <c:formatCode>General</c:formatCode>
                <c:ptCount val="105"/>
                <c:pt idx="0">
                  <c:v>0</c:v>
                </c:pt>
                <c:pt idx="1">
                  <c:v>80</c:v>
                </c:pt>
                <c:pt idx="2">
                  <c:v>80</c:v>
                </c:pt>
                <c:pt idx="3">
                  <c:v>80</c:v>
                </c:pt>
                <c:pt idx="4">
                  <c:v>80</c:v>
                </c:pt>
                <c:pt idx="5">
                  <c:v>80</c:v>
                </c:pt>
                <c:pt idx="6">
                  <c:v>80</c:v>
                </c:pt>
                <c:pt idx="7">
                  <c:v>80</c:v>
                </c:pt>
                <c:pt idx="8">
                  <c:v>80</c:v>
                </c:pt>
                <c:pt idx="9">
                  <c:v>80</c:v>
                </c:pt>
                <c:pt idx="10">
                  <c:v>80</c:v>
                </c:pt>
                <c:pt idx="11">
                  <c:v>80</c:v>
                </c:pt>
                <c:pt idx="12">
                  <c:v>80</c:v>
                </c:pt>
                <c:pt idx="13">
                  <c:v>1408</c:v>
                </c:pt>
                <c:pt idx="14">
                  <c:v>1408</c:v>
                </c:pt>
                <c:pt idx="15">
                  <c:v>1408</c:v>
                </c:pt>
                <c:pt idx="16">
                  <c:v>1408</c:v>
                </c:pt>
                <c:pt idx="17">
                  <c:v>1408</c:v>
                </c:pt>
                <c:pt idx="18">
                  <c:v>2024</c:v>
                </c:pt>
                <c:pt idx="19">
                  <c:v>2024</c:v>
                </c:pt>
                <c:pt idx="20">
                  <c:v>2543</c:v>
                </c:pt>
                <c:pt idx="21">
                  <c:v>2543</c:v>
                </c:pt>
                <c:pt idx="22">
                  <c:v>2543</c:v>
                </c:pt>
                <c:pt idx="23">
                  <c:v>2543</c:v>
                </c:pt>
                <c:pt idx="24">
                  <c:v>2543</c:v>
                </c:pt>
                <c:pt idx="25">
                  <c:v>2543</c:v>
                </c:pt>
                <c:pt idx="26">
                  <c:v>2543</c:v>
                </c:pt>
                <c:pt idx="27">
                  <c:v>2543</c:v>
                </c:pt>
                <c:pt idx="28">
                  <c:v>2543</c:v>
                </c:pt>
                <c:pt idx="29">
                  <c:v>2543</c:v>
                </c:pt>
                <c:pt idx="30">
                  <c:v>2543</c:v>
                </c:pt>
                <c:pt idx="31">
                  <c:v>2543</c:v>
                </c:pt>
                <c:pt idx="32">
                  <c:v>2543</c:v>
                </c:pt>
                <c:pt idx="33">
                  <c:v>2543</c:v>
                </c:pt>
                <c:pt idx="34">
                  <c:v>2543</c:v>
                </c:pt>
                <c:pt idx="35">
                  <c:v>2543</c:v>
                </c:pt>
                <c:pt idx="36">
                  <c:v>2543</c:v>
                </c:pt>
                <c:pt idx="37">
                  <c:v>2543</c:v>
                </c:pt>
                <c:pt idx="38">
                  <c:v>2543</c:v>
                </c:pt>
                <c:pt idx="39">
                  <c:v>2543</c:v>
                </c:pt>
                <c:pt idx="40">
                  <c:v>2543</c:v>
                </c:pt>
                <c:pt idx="41">
                  <c:v>2543</c:v>
                </c:pt>
                <c:pt idx="42">
                  <c:v>3107</c:v>
                </c:pt>
                <c:pt idx="43">
                  <c:v>3107</c:v>
                </c:pt>
                <c:pt idx="44">
                  <c:v>3107</c:v>
                </c:pt>
                <c:pt idx="45">
                  <c:v>3501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Графики!$AE$4</c:f>
              <c:strCache>
                <c:ptCount val="1"/>
                <c:pt idx="0">
                  <c:v>План для Бонуса</c:v>
                </c:pt>
              </c:strCache>
            </c:strRef>
          </c:tx>
          <c:spPr>
            <a:solidFill>
              <a:srgbClr val="8064a2"/>
            </a:solidFill>
            <a:ln cap="rnd" w="22320">
              <a:solidFill>
                <a:srgbClr val="8064a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Графики!$AF$6:$AF$101</c:f>
              <c:numCache>
                <c:formatCode>General</c:formatCode>
                <c:ptCount val="96"/>
                <c:pt idx="0">
                  <c:v>0.0208333333333333</c:v>
                </c:pt>
                <c:pt idx="1">
                  <c:v>0.104166666666667</c:v>
                </c:pt>
                <c:pt idx="2">
                  <c:v>0.145833333333333</c:v>
                </c:pt>
                <c:pt idx="3">
                  <c:v>0.166666666666667</c:v>
                </c:pt>
                <c:pt idx="4">
                  <c:v>0.1875</c:v>
                </c:pt>
                <c:pt idx="5">
                  <c:v>0.270833333333333</c:v>
                </c:pt>
                <c:pt idx="6">
                  <c:v>0.291666666666667</c:v>
                </c:pt>
                <c:pt idx="7">
                  <c:v>0.354166666666667</c:v>
                </c:pt>
                <c:pt idx="8">
                  <c:v>0.6875</c:v>
                </c:pt>
                <c:pt idx="9">
                  <c:v>1</c:v>
                </c:pt>
                <c:pt idx="10">
                  <c:v>1.125</c:v>
                </c:pt>
                <c:pt idx="11">
                  <c:v>1.20833333333333</c:v>
                </c:pt>
                <c:pt idx="12">
                  <c:v>1.29166666666667</c:v>
                </c:pt>
                <c:pt idx="13">
                  <c:v>2.625</c:v>
                </c:pt>
                <c:pt idx="14">
                  <c:v>2.72916666666667</c:v>
                </c:pt>
                <c:pt idx="15">
                  <c:v>3.02083333333333</c:v>
                </c:pt>
                <c:pt idx="16">
                  <c:v>3.27083333333333</c:v>
                </c:pt>
                <c:pt idx="17">
                  <c:v>3.35416666666667</c:v>
                </c:pt>
                <c:pt idx="18">
                  <c:v>4.77083333333333</c:v>
                </c:pt>
                <c:pt idx="19">
                  <c:v>4.85416666666667</c:v>
                </c:pt>
                <c:pt idx="20">
                  <c:v>6.27083333333333</c:v>
                </c:pt>
                <c:pt idx="21">
                  <c:v>6.39583333333333</c:v>
                </c:pt>
                <c:pt idx="22">
                  <c:v>6.8125</c:v>
                </c:pt>
                <c:pt idx="23">
                  <c:v>7.1875</c:v>
                </c:pt>
                <c:pt idx="24">
                  <c:v>7.3125</c:v>
                </c:pt>
                <c:pt idx="25">
                  <c:v>7.6875</c:v>
                </c:pt>
                <c:pt idx="26">
                  <c:v>7.8125</c:v>
                </c:pt>
                <c:pt idx="27">
                  <c:v>7.85416666666667</c:v>
                </c:pt>
                <c:pt idx="28">
                  <c:v>8.60416666666667</c:v>
                </c:pt>
                <c:pt idx="29">
                  <c:v>8.6875</c:v>
                </c:pt>
                <c:pt idx="30">
                  <c:v>8.85416666666667</c:v>
                </c:pt>
                <c:pt idx="31">
                  <c:v>9.02083333333333</c:v>
                </c:pt>
                <c:pt idx="32">
                  <c:v>9.27083333333333</c:v>
                </c:pt>
                <c:pt idx="33">
                  <c:v>9.375</c:v>
                </c:pt>
                <c:pt idx="34">
                  <c:v>9.95833333333333</c:v>
                </c:pt>
                <c:pt idx="35">
                  <c:v>12.2083333333333</c:v>
                </c:pt>
                <c:pt idx="36">
                  <c:v>12.4166666666667</c:v>
                </c:pt>
                <c:pt idx="37">
                  <c:v>13.0833333333333</c:v>
                </c:pt>
                <c:pt idx="38">
                  <c:v>13.1666666666667</c:v>
                </c:pt>
                <c:pt idx="39">
                  <c:v>13.2916666666667</c:v>
                </c:pt>
                <c:pt idx="40">
                  <c:v>13.375</c:v>
                </c:pt>
                <c:pt idx="41">
                  <c:v>13.4166666666667</c:v>
                </c:pt>
                <c:pt idx="42">
                  <c:v>15.3333333333333</c:v>
                </c:pt>
                <c:pt idx="43">
                  <c:v>15.4166666666667</c:v>
                </c:pt>
                <c:pt idx="44">
                  <c:v>15.4583333333333</c:v>
                </c:pt>
                <c:pt idx="45">
                  <c:v>20.875</c:v>
                </c:pt>
                <c:pt idx="46">
                  <c:v>21</c:v>
                </c:pt>
                <c:pt idx="47">
                  <c:v>21.2916666666667</c:v>
                </c:pt>
                <c:pt idx="48">
                  <c:v>21.2916666666667</c:v>
                </c:pt>
                <c:pt idx="49">
                  <c:v>22.7083333333333</c:v>
                </c:pt>
                <c:pt idx="50">
                  <c:v>22.8541666666667</c:v>
                </c:pt>
                <c:pt idx="51">
                  <c:v>23.4375</c:v>
                </c:pt>
                <c:pt idx="52">
                  <c:v>23.6041666666667</c:v>
                </c:pt>
                <c:pt idx="53">
                  <c:v>23.6458333333333</c:v>
                </c:pt>
                <c:pt idx="54">
                  <c:v>24.1458333333333</c:v>
                </c:pt>
                <c:pt idx="55">
                  <c:v>24.6458333333333</c:v>
                </c:pt>
                <c:pt idx="56">
                  <c:v>24.7291666666667</c:v>
                </c:pt>
                <c:pt idx="57">
                  <c:v>24.9791666666667</c:v>
                </c:pt>
                <c:pt idx="58">
                  <c:v>25.1041666666667</c:v>
                </c:pt>
                <c:pt idx="59">
                  <c:v>25.5208333333333</c:v>
                </c:pt>
                <c:pt idx="60">
                  <c:v>25.6875</c:v>
                </c:pt>
                <c:pt idx="61">
                  <c:v>26.6875</c:v>
                </c:pt>
                <c:pt idx="62">
                  <c:v>26.8125</c:v>
                </c:pt>
              </c:numCache>
            </c:numRef>
          </c:xVal>
          <c:yVal>
            <c:numRef>
              <c:f>Графики!$Y$6:$Y$113</c:f>
              <c:numCache>
                <c:formatCode>General</c:formatCode>
                <c:ptCount val="108"/>
                <c:pt idx="1">
                  <c:v>80</c:v>
                </c:pt>
                <c:pt idx="2">
                  <c:v>80</c:v>
                </c:pt>
                <c:pt idx="3">
                  <c:v>80</c:v>
                </c:pt>
                <c:pt idx="4">
                  <c:v>80</c:v>
                </c:pt>
                <c:pt idx="5">
                  <c:v>80</c:v>
                </c:pt>
                <c:pt idx="6">
                  <c:v>80</c:v>
                </c:pt>
                <c:pt idx="7">
                  <c:v>80</c:v>
                </c:pt>
                <c:pt idx="8">
                  <c:v>80</c:v>
                </c:pt>
                <c:pt idx="9">
                  <c:v>80</c:v>
                </c:pt>
                <c:pt idx="10">
                  <c:v>80</c:v>
                </c:pt>
                <c:pt idx="11">
                  <c:v>80</c:v>
                </c:pt>
                <c:pt idx="12">
                  <c:v>82</c:v>
                </c:pt>
                <c:pt idx="13">
                  <c:v>1500</c:v>
                </c:pt>
                <c:pt idx="14">
                  <c:v>1500</c:v>
                </c:pt>
                <c:pt idx="15">
                  <c:v>1500</c:v>
                </c:pt>
                <c:pt idx="16">
                  <c:v>1500</c:v>
                </c:pt>
                <c:pt idx="17">
                  <c:v>1500</c:v>
                </c:pt>
                <c:pt idx="18">
                  <c:v>2100</c:v>
                </c:pt>
                <c:pt idx="19">
                  <c:v>2060</c:v>
                </c:pt>
                <c:pt idx="20">
                  <c:v>2543.15</c:v>
                </c:pt>
                <c:pt idx="21">
                  <c:v>2543.15</c:v>
                </c:pt>
                <c:pt idx="22">
                  <c:v>2543.15</c:v>
                </c:pt>
                <c:pt idx="23">
                  <c:v>2543.15</c:v>
                </c:pt>
                <c:pt idx="24">
                  <c:v>2543.15</c:v>
                </c:pt>
                <c:pt idx="25">
                  <c:v>2543.15</c:v>
                </c:pt>
                <c:pt idx="26">
                  <c:v>2543.15</c:v>
                </c:pt>
                <c:pt idx="27">
                  <c:v>2543.15</c:v>
                </c:pt>
                <c:pt idx="28">
                  <c:v>2543.15</c:v>
                </c:pt>
                <c:pt idx="29">
                  <c:v>2543.15</c:v>
                </c:pt>
                <c:pt idx="30">
                  <c:v>2543.15</c:v>
                </c:pt>
                <c:pt idx="31">
                  <c:v>2543.15</c:v>
                </c:pt>
                <c:pt idx="32">
                  <c:v>2543.15</c:v>
                </c:pt>
                <c:pt idx="33">
                  <c:v>2543.15</c:v>
                </c:pt>
                <c:pt idx="34">
                  <c:v>2543.15</c:v>
                </c:pt>
                <c:pt idx="35">
                  <c:v>2543.15</c:v>
                </c:pt>
                <c:pt idx="36">
                  <c:v>2543.15</c:v>
                </c:pt>
                <c:pt idx="37">
                  <c:v>2543.15</c:v>
                </c:pt>
                <c:pt idx="38">
                  <c:v>2543.15</c:v>
                </c:pt>
                <c:pt idx="39">
                  <c:v>2543.15</c:v>
                </c:pt>
                <c:pt idx="40">
                  <c:v>2543.15</c:v>
                </c:pt>
                <c:pt idx="41">
                  <c:v>2543.15</c:v>
                </c:pt>
                <c:pt idx="42">
                  <c:v>3110</c:v>
                </c:pt>
                <c:pt idx="43">
                  <c:v>3110</c:v>
                </c:pt>
                <c:pt idx="44">
                  <c:v>3110</c:v>
                </c:pt>
                <c:pt idx="45">
                  <c:v>4660</c:v>
                </c:pt>
                <c:pt idx="46">
                  <c:v>4660</c:v>
                </c:pt>
                <c:pt idx="47">
                  <c:v>4660</c:v>
                </c:pt>
                <c:pt idx="48">
                  <c:v>4660</c:v>
                </c:pt>
                <c:pt idx="49">
                  <c:v>4660</c:v>
                </c:pt>
                <c:pt idx="50">
                  <c:v>4660</c:v>
                </c:pt>
                <c:pt idx="51">
                  <c:v>4660</c:v>
                </c:pt>
                <c:pt idx="52">
                  <c:v>4660</c:v>
                </c:pt>
                <c:pt idx="53">
                  <c:v>4660</c:v>
                </c:pt>
                <c:pt idx="54">
                  <c:v>4660</c:v>
                </c:pt>
                <c:pt idx="55">
                  <c:v>4660</c:v>
                </c:pt>
                <c:pt idx="56">
                  <c:v>4660</c:v>
                </c:pt>
                <c:pt idx="57">
                  <c:v>4660</c:v>
                </c:pt>
                <c:pt idx="58">
                  <c:v>4660</c:v>
                </c:pt>
                <c:pt idx="59">
                  <c:v>4660</c:v>
                </c:pt>
                <c:pt idx="60">
                  <c:v>4660</c:v>
                </c:pt>
                <c:pt idx="61">
                  <c:v>4660</c:v>
                </c:pt>
                <c:pt idx="62">
                  <c:v>4660</c:v>
                </c:pt>
              </c:numCache>
            </c:numRef>
          </c:yVal>
          <c:smooth val="1"/>
        </c:ser>
        <c:axId val="96260442"/>
        <c:axId val="71873446"/>
      </c:scatterChart>
      <c:valAx>
        <c:axId val="96260442"/>
        <c:scaling>
          <c:orientation val="minMax"/>
          <c:max val="30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high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Arial"/>
              </a:defRPr>
            </a:pPr>
          </a:p>
        </c:txPr>
        <c:crossAx val="71873446"/>
        <c:crosses val="autoZero"/>
        <c:crossBetween val="midCat"/>
      </c:valAx>
      <c:valAx>
        <c:axId val="71873446"/>
        <c:scaling>
          <c:orientation val="maxMin"/>
          <c:min val="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Arial"/>
              </a:defRPr>
            </a:pPr>
          </a:p>
        </c:txPr>
        <c:crossAx val="96260442"/>
        <c:crosses val="autoZero"/>
        <c:crossBetween val="midCat"/>
        <c:majorUnit val="250"/>
      </c:valAx>
      <c:spPr>
        <a:noFill/>
        <a:ln w="0">
          <a:noFill/>
        </a:ln>
      </c:spPr>
    </c:plotArea>
    <c:legend>
      <c:legendPos val="b"/>
      <c:layout>
        <c:manualLayout>
          <c:xMode val="edge"/>
          <c:yMode val="edge"/>
          <c:x val="0.377363324418176"/>
          <c:y val="0.158210351395402"/>
          <c:w val="0.269930037232689"/>
          <c:h val="0.0277514949283345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  <a:ea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ru-RU" sz="1400" spc="-1" strike="noStrike">
                <a:solidFill>
                  <a:srgbClr val="595959"/>
                </a:solidFill>
                <a:latin typeface="Calibri"/>
                <a:ea typeface="Arial"/>
              </a:defRPr>
            </a:pPr>
            <a:r>
              <a:rPr b="0" lang="ru-RU" sz="1400" spc="-1" strike="noStrike">
                <a:solidFill>
                  <a:srgbClr val="595959"/>
                </a:solidFill>
                <a:latin typeface="Calibri"/>
                <a:ea typeface="Arial"/>
              </a:rPr>
              <a:t>Расппределение НПВ по типам</a:t>
            </a:r>
          </a:p>
        </c:rich>
      </c:tx>
      <c:overlay val="0"/>
      <c:spPr>
        <a:noFill/>
        <a:ln w="0">
          <a:noFill/>
        </a:ln>
      </c:spPr>
    </c:title>
    <c:autoTitleDeleted val="0"/>
    <c:view3D>
      <c:rotX val="30"/>
      <c:rotY val="0"/>
      <c:rAngAx val="0"/>
      <c:perspective val="30"/>
    </c:view3D>
    <c:floor>
      <c:spPr>
        <a:solidFill>
          <a:srgbClr val="d9d9d9"/>
        </a:solidFill>
        <a:ln w="0">
          <a:noFill/>
        </a:ln>
      </c:spPr>
    </c:floor>
    <c:sideWall>
      <c:spPr>
        <a:solidFill>
          <a:srgbClr val="d9d9d9"/>
        </a:solidFill>
        <a:ln w="0">
          <a:noFill/>
        </a:ln>
      </c:spPr>
    </c:sideWall>
    <c:backWall>
      <c:spPr>
        <a:solidFill>
          <a:srgbClr val="d9d9d9"/>
        </a:solidFill>
        <a:ln w="0">
          <a:noFill/>
        </a:ln>
      </c:spPr>
    </c:backWall>
    <c:plotArea>
      <c:pie3D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25560">
                <a:solidFill>
                  <a:srgbClr val="ffffff"/>
                </a:solidFill>
                <a:round/>
              </a:ln>
            </c:spPr>
          </c:dPt>
          <c:dPt>
            <c:idx val="1"/>
            <c:spPr>
              <a:solidFill>
                <a:srgbClr val="c0504d"/>
              </a:solidFill>
              <a:ln w="25560">
                <a:solidFill>
                  <a:srgbClr val="ffffff"/>
                </a:solidFill>
                <a:round/>
              </a:ln>
            </c:spPr>
          </c:dPt>
          <c:dPt>
            <c:idx val="2"/>
            <c:spPr>
              <a:solidFill>
                <a:srgbClr val="9bbb59"/>
              </a:solidFill>
              <a:ln w="25560">
                <a:solidFill>
                  <a:srgbClr val="ffffff"/>
                </a:solidFill>
                <a:round/>
              </a:ln>
            </c:spPr>
          </c:dPt>
          <c:dPt>
            <c:idx val="3"/>
            <c:spPr>
              <a:solidFill>
                <a:srgbClr val="8064a2"/>
              </a:solidFill>
              <a:ln w="25560">
                <a:solidFill>
                  <a:srgbClr val="ffffff"/>
                </a:solidFill>
                <a:round/>
              </a:ln>
            </c:spPr>
          </c:dPt>
          <c:dPt>
            <c:idx val="4"/>
            <c:spPr>
              <a:solidFill>
                <a:srgbClr val="4bacc6"/>
              </a:solidFill>
              <a:ln w="25560">
                <a:solidFill>
                  <a:srgbClr val="ffffff"/>
                </a:solidFill>
                <a:round/>
              </a:ln>
            </c:spPr>
          </c:dPt>
          <c:dPt>
            <c:idx val="5"/>
            <c:spPr>
              <a:solidFill>
                <a:srgbClr val="f79646"/>
              </a:solidFill>
              <a:ln w="25560">
                <a:solidFill>
                  <a:srgbClr val="ffffff"/>
                </a:solidFill>
                <a:round/>
              </a:ln>
            </c:spPr>
          </c:dPt>
          <c:dPt>
            <c:idx val="6"/>
            <c:spPr>
              <a:solidFill>
                <a:srgbClr val="2c4d75"/>
              </a:solidFill>
              <a:ln w="25560">
                <a:solidFill>
                  <a:srgbClr val="ffffff"/>
                </a:solidFill>
                <a:round/>
              </a:ln>
            </c:spPr>
          </c:dPt>
          <c:dLbls>
            <c:numFmt formatCode="0.00" sourceLinked="1"/>
            <c:dLbl>
              <c:idx val="0"/>
              <c:numFmt formatCode="0.00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0.00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numFmt formatCode="0.00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3"/>
              <c:numFmt formatCode="0.00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4"/>
              <c:numFmt formatCode="0.00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5"/>
              <c:numFmt formatCode="0.00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6"/>
              <c:numFmt formatCode="0.00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  <a:ea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</c:dLbls>
          <c:cat>
            <c:strRef>
              <c:f>'реестр НПВ'!$L$50:$L$56</c:f>
              <c:strCache>
                <c:ptCount val="7"/>
                <c:pt idx="0">
                  <c:v>Аварии</c:v>
                </c:pt>
                <c:pt idx="1">
                  <c:v>Осложнения</c:v>
                </c:pt>
                <c:pt idx="2">
                  <c:v>Геологические осложнения</c:v>
                </c:pt>
                <c:pt idx="3">
                  <c:v>Ликв.брака</c:v>
                </c:pt>
                <c:pt idx="4">
                  <c:v>Простои</c:v>
                </c:pt>
                <c:pt idx="5">
                  <c:v>Простои
метео</c:v>
                </c:pt>
                <c:pt idx="6">
                  <c:v>Ремонт ББ</c:v>
                </c:pt>
              </c:strCache>
            </c:strRef>
          </c:cat>
          <c:val>
            <c:numRef>
              <c:f>'реестр НПВ'!$M$50:$M$56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</c:pie3DChart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  <a:ea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ru-RU" sz="1400" spc="-1" strike="noStrike">
                <a:solidFill>
                  <a:srgbClr val="595959"/>
                </a:solidFill>
                <a:latin typeface="Calibri"/>
                <a:ea typeface="Arial"/>
              </a:defRPr>
            </a:pPr>
            <a:r>
              <a:rPr b="0" lang="ru-RU" sz="1400" spc="-1" strike="noStrike">
                <a:solidFill>
                  <a:srgbClr val="595959"/>
                </a:solidFill>
                <a:latin typeface="Calibri"/>
                <a:ea typeface="Arial"/>
              </a:rPr>
              <a:t>Расппределение НПВ по ПО</a:t>
            </a:r>
          </a:p>
        </c:rich>
      </c:tx>
      <c:overlay val="0"/>
      <c:spPr>
        <a:noFill/>
        <a:ln w="0">
          <a:noFill/>
        </a:ln>
      </c:spPr>
    </c:title>
    <c:autoTitleDeleted val="0"/>
    <c:view3D>
      <c:rotX val="30"/>
      <c:rotY val="0"/>
      <c:rAngAx val="0"/>
      <c:perspective val="30"/>
    </c:view3D>
    <c:floor>
      <c:spPr>
        <a:solidFill>
          <a:srgbClr val="d9d9d9"/>
        </a:solidFill>
        <a:ln w="0">
          <a:noFill/>
        </a:ln>
      </c:spPr>
    </c:floor>
    <c:sideWall>
      <c:spPr>
        <a:solidFill>
          <a:srgbClr val="d9d9d9"/>
        </a:solidFill>
        <a:ln w="0">
          <a:noFill/>
        </a:ln>
      </c:spPr>
    </c:sideWall>
    <c:backWall>
      <c:spPr>
        <a:solidFill>
          <a:srgbClr val="d9d9d9"/>
        </a:solidFill>
        <a:ln w="0">
          <a:noFill/>
        </a:ln>
      </c:spPr>
    </c:backWall>
    <c:plotArea>
      <c:pie3D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25560">
                <a:solidFill>
                  <a:srgbClr val="ffffff"/>
                </a:solidFill>
                <a:round/>
              </a:ln>
            </c:spPr>
          </c:dPt>
          <c:dPt>
            <c:idx val="1"/>
            <c:spPr>
              <a:solidFill>
                <a:srgbClr val="c0504d"/>
              </a:solidFill>
              <a:ln w="25560">
                <a:solidFill>
                  <a:srgbClr val="ffffff"/>
                </a:solidFill>
                <a:round/>
              </a:ln>
            </c:spPr>
          </c:dPt>
          <c:dPt>
            <c:idx val="2"/>
            <c:spPr>
              <a:solidFill>
                <a:srgbClr val="9bbb59"/>
              </a:solidFill>
              <a:ln w="25560">
                <a:solidFill>
                  <a:srgbClr val="ffffff"/>
                </a:solidFill>
                <a:round/>
              </a:ln>
            </c:spPr>
          </c:dPt>
          <c:dPt>
            <c:idx val="3"/>
            <c:spPr>
              <a:solidFill>
                <a:srgbClr val="8064a2"/>
              </a:solidFill>
              <a:ln w="25560">
                <a:solidFill>
                  <a:srgbClr val="ffffff"/>
                </a:solidFill>
                <a:round/>
              </a:ln>
            </c:spPr>
          </c:dPt>
          <c:dPt>
            <c:idx val="4"/>
            <c:spPr>
              <a:solidFill>
                <a:srgbClr val="4bacc6"/>
              </a:solidFill>
              <a:ln w="25560">
                <a:solidFill>
                  <a:srgbClr val="ffffff"/>
                </a:solidFill>
                <a:round/>
              </a:ln>
            </c:spPr>
          </c:dPt>
          <c:dPt>
            <c:idx val="5"/>
            <c:spPr>
              <a:solidFill>
                <a:srgbClr val="f79646"/>
              </a:solidFill>
              <a:ln w="25560">
                <a:solidFill>
                  <a:srgbClr val="ffffff"/>
                </a:solidFill>
                <a:round/>
              </a:ln>
            </c:spPr>
          </c:dPt>
          <c:dPt>
            <c:idx val="6"/>
            <c:spPr>
              <a:solidFill>
                <a:srgbClr val="2c4d75"/>
              </a:solidFill>
              <a:ln w="25560">
                <a:solidFill>
                  <a:srgbClr val="ffffff"/>
                </a:solidFill>
                <a:round/>
              </a:ln>
            </c:spPr>
          </c:dPt>
          <c:dPt>
            <c:idx val="7"/>
            <c:spPr>
              <a:solidFill>
                <a:srgbClr val="772c2a"/>
              </a:solidFill>
              <a:ln w="25560">
                <a:solidFill>
                  <a:srgbClr val="ffffff"/>
                </a:solidFill>
                <a:round/>
              </a:ln>
            </c:spPr>
          </c:dPt>
          <c:dPt>
            <c:idx val="8"/>
            <c:spPr>
              <a:solidFill>
                <a:srgbClr val="5f7530"/>
              </a:solidFill>
              <a:ln w="25560">
                <a:solidFill>
                  <a:srgbClr val="ffffff"/>
                </a:solidFill>
                <a:round/>
              </a:ln>
            </c:spPr>
          </c:dPt>
          <c:dPt>
            <c:idx val="9"/>
            <c:spPr>
              <a:solidFill>
                <a:srgbClr val="4d3b62"/>
              </a:solidFill>
              <a:ln w="25560">
                <a:solidFill>
                  <a:srgbClr val="ffffff"/>
                </a:solidFill>
                <a:round/>
              </a:ln>
            </c:spPr>
          </c:dPt>
          <c:dPt>
            <c:idx val="10"/>
            <c:spPr>
              <a:solidFill>
                <a:srgbClr val="276a7c"/>
              </a:solidFill>
              <a:ln w="25560">
                <a:solidFill>
                  <a:srgbClr val="ffffff"/>
                </a:solidFill>
                <a:round/>
              </a:ln>
            </c:spPr>
          </c:dPt>
          <c:dPt>
            <c:idx val="11"/>
            <c:spPr>
              <a:solidFill>
                <a:srgbClr val="b65708"/>
              </a:solidFill>
              <a:ln w="25560">
                <a:solidFill>
                  <a:srgbClr val="ffffff"/>
                </a:solidFill>
                <a:round/>
              </a:ln>
            </c:spPr>
          </c:dPt>
          <c:dPt>
            <c:idx val="12"/>
            <c:spPr>
              <a:solidFill>
                <a:srgbClr val="729aca"/>
              </a:solidFill>
              <a:ln w="25560">
                <a:solidFill>
                  <a:srgbClr val="ffffff"/>
                </a:solidFill>
                <a:round/>
              </a:ln>
            </c:spPr>
          </c:dPt>
          <c:dLbls>
            <c:numFmt formatCode="0.00" sourceLinked="1"/>
            <c:dLbl>
              <c:idx val="0"/>
              <c:numFmt formatCode="0.00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0.00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numFmt formatCode="0.00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3"/>
              <c:numFmt formatCode="0.00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4"/>
              <c:numFmt formatCode="0.00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5"/>
              <c:numFmt formatCode="0.00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6"/>
              <c:numFmt formatCode="0.00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7"/>
              <c:numFmt formatCode="0.00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8"/>
              <c:numFmt formatCode="0.00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9"/>
              <c:numFmt formatCode="0.00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0"/>
              <c:numFmt formatCode="0.00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1"/>
              <c:numFmt formatCode="0.00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2"/>
              <c:numFmt formatCode="0.00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  <a:ea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</c:dLbls>
          <c:cat>
            <c:strRef>
              <c:f>'реестр НПВ'!$L$62:$L$74</c:f>
              <c:strCache>
                <c:ptCount val="13"/>
                <c:pt idx="0">
                  <c:v>ООО "НТ-Сервис"</c:v>
                </c:pt>
                <c:pt idx="1">
                  <c:v>НФ ООО "БКЕ"</c:v>
                </c:pt>
                <c:pt idx="2">
                  <c:v>ООО "НПП "Буринтех"</c:v>
                </c:pt>
                <c:pt idx="3">
                  <c:v>ООО "Траектория-сервис"</c:v>
                </c:pt>
                <c:pt idx="4">
                  <c:v>АО "НПП "Бурсервис"</c:v>
                </c:pt>
                <c:pt idx="5">
                  <c:v>ООО "Бренд Фактор"</c:v>
                </c:pt>
                <c:pt idx="6">
                  <c:v>ООО "НОРД-СЕРВИС"</c:v>
                </c:pt>
                <c:pt idx="7">
                  <c:v>ООО "Зенит-Сервис"</c:v>
                </c:pt>
                <c:pt idx="8">
                  <c:v>ПО 1</c:v>
                </c:pt>
                <c:pt idx="9">
                  <c:v>ПО 2</c:v>
                </c:pt>
                <c:pt idx="10">
                  <c:v>ПО 3</c:v>
                </c:pt>
                <c:pt idx="11">
                  <c:v>ПО 4</c:v>
                </c:pt>
                <c:pt idx="12">
                  <c:v>ГПНХ</c:v>
                </c:pt>
              </c:strCache>
            </c:strRef>
          </c:cat>
          <c:val>
            <c:numRef>
              <c:f>'реестр НПВ'!$M$62:$M$74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</c:pie3DChart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  <a:ea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15</xdr:col>
      <xdr:colOff>546840</xdr:colOff>
      <xdr:row>0</xdr:row>
      <xdr:rowOff>71280</xdr:rowOff>
    </xdr:from>
    <xdr:to>
      <xdr:col>17</xdr:col>
      <xdr:colOff>146520</xdr:colOff>
      <xdr:row>6</xdr:row>
      <xdr:rowOff>47160</xdr:rowOff>
    </xdr:to>
    <xdr:sp>
      <xdr:nvSpPr>
        <xdr:cNvPr id="0" name="Rectangle 2"/>
        <xdr:cNvSpPr/>
      </xdr:nvSpPr>
      <xdr:spPr>
        <a:xfrm>
          <a:off x="13488120" y="71280"/>
          <a:ext cx="3335400" cy="1052280"/>
        </a:xfrm>
        <a:prstGeom prst="rect">
          <a:avLst/>
        </a:prstGeom>
        <a:solidFill>
          <a:srgbClr val="ffffff"/>
        </a:solidFill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7360" bIns="0" anchor="t">
          <a:noAutofit/>
        </a:bodyPr>
        <a:p>
          <a:pPr algn="ctr" defTabSz="914400">
            <a:lnSpc>
              <a:spcPct val="100000"/>
            </a:lnSpc>
            <a:tabLst>
              <a:tab algn="l" pos="0"/>
            </a:tabLst>
          </a:pPr>
          <a:r>
            <a:rPr b="1" lang="ru-RU" sz="1000" spc="-1" strike="noStrike">
              <a:solidFill>
                <a:srgbClr val="000000"/>
              </a:solidFill>
              <a:latin typeface="Arial"/>
              <a:ea typeface="Arial"/>
            </a:rPr>
            <a:t>Утверждаю:</a:t>
          </a:r>
          <a:endParaRPr b="0" lang="ru-RU" sz="1000" spc="-1" strike="noStrike">
            <a:latin typeface="Times New Roman"/>
          </a:endParaRPr>
        </a:p>
        <a:p>
          <a:pPr defTabSz="914400">
            <a:lnSpc>
              <a:spcPct val="100000"/>
            </a:lnSpc>
            <a:tabLst>
              <a:tab algn="l" pos="0"/>
            </a:tabLst>
          </a:pPr>
          <a:r>
            <a:rPr b="0" lang="ru-RU" sz="1000" spc="-1" strike="noStrike">
              <a:solidFill>
                <a:srgbClr val="000000"/>
              </a:solidFill>
              <a:latin typeface="Arial"/>
              <a:ea typeface="Arial"/>
            </a:rPr>
            <a:t>Руководитель сектора </a:t>
          </a:r>
          <a:endParaRPr b="0" lang="ru-RU" sz="1000" spc="-1" strike="noStrike">
            <a:latin typeface="Times New Roman"/>
          </a:endParaRPr>
        </a:p>
        <a:p>
          <a:pPr defTabSz="914400">
            <a:lnSpc>
              <a:spcPct val="100000"/>
            </a:lnSpc>
            <a:tabLst>
              <a:tab algn="l" pos="0"/>
            </a:tabLst>
          </a:pPr>
          <a:r>
            <a:rPr b="0" lang="ru-RU" sz="1000" spc="-1" strike="noStrike">
              <a:solidFill>
                <a:srgbClr val="000000"/>
              </a:solidFill>
              <a:latin typeface="Arial"/>
              <a:ea typeface="Arial"/>
            </a:rPr>
            <a:t>по технологическому сопровождению бурения  </a:t>
          </a:r>
          <a:endParaRPr b="0" lang="ru-RU" sz="1000" spc="-1" strike="noStrike">
            <a:latin typeface="Times New Roman"/>
          </a:endParaRPr>
        </a:p>
        <a:p>
          <a:pPr defTabSz="914400">
            <a:lnSpc>
              <a:spcPct val="100000"/>
            </a:lnSpc>
            <a:tabLst>
              <a:tab algn="l" pos="0"/>
            </a:tabLst>
          </a:pPr>
          <a:r>
            <a:rPr b="0" lang="ru-RU" sz="1000" spc="-1" strike="noStrike">
              <a:solidFill>
                <a:srgbClr val="000000"/>
              </a:solidFill>
              <a:latin typeface="Arial"/>
              <a:ea typeface="Arial"/>
            </a:rPr>
            <a:t>ООО "Газпромнефть-Хантос"</a:t>
          </a:r>
          <a:endParaRPr b="0" lang="ru-RU" sz="1000" spc="-1" strike="noStrike">
            <a:latin typeface="Times New Roman"/>
          </a:endParaRPr>
        </a:p>
        <a:p>
          <a:pPr algn="ctr" defTabSz="914400">
            <a:lnSpc>
              <a:spcPct val="100000"/>
            </a:lnSpc>
            <a:tabLst>
              <a:tab algn="l" pos="0"/>
            </a:tabLst>
          </a:pPr>
          <a:endParaRPr b="0" lang="ru-RU" sz="1000" spc="-1" strike="noStrike">
            <a:latin typeface="Times New Roman"/>
          </a:endParaRPr>
        </a:p>
        <a:p>
          <a:pPr algn="ctr" defTabSz="914400">
            <a:lnSpc>
              <a:spcPct val="100000"/>
            </a:lnSpc>
            <a:tabLst>
              <a:tab algn="l" pos="0"/>
            </a:tabLst>
          </a:pPr>
          <a:r>
            <a:rPr b="0" lang="ru-RU" sz="1000" spc="-1" strike="noStrike">
              <a:solidFill>
                <a:srgbClr val="000000"/>
              </a:solidFill>
              <a:latin typeface="Arial"/>
              <a:ea typeface="Arial"/>
            </a:rPr>
            <a:t>______________Д.В. Типелиус</a:t>
          </a:r>
          <a:endParaRPr b="0" lang="ru-RU" sz="1000" spc="-1" strike="noStrike">
            <a:latin typeface="Times New Roman"/>
          </a:endParaRPr>
        </a:p>
      </xdr:txBody>
    </xdr:sp>
    <xdr:clientData/>
  </xdr:twoCellAnchor>
  <xdr:twoCellAnchor editAs="twoCell">
    <xdr:from>
      <xdr:col>15</xdr:col>
      <xdr:colOff>711360</xdr:colOff>
      <xdr:row>11</xdr:row>
      <xdr:rowOff>51480</xdr:rowOff>
    </xdr:from>
    <xdr:to>
      <xdr:col>16</xdr:col>
      <xdr:colOff>371160</xdr:colOff>
      <xdr:row>15</xdr:row>
      <xdr:rowOff>145800</xdr:rowOff>
    </xdr:to>
    <xdr:sp>
      <xdr:nvSpPr>
        <xdr:cNvPr id="1" name="Rectangle 2"/>
        <xdr:cNvSpPr/>
      </xdr:nvSpPr>
      <xdr:spPr>
        <a:xfrm>
          <a:off x="13652640" y="2118240"/>
          <a:ext cx="2761200" cy="903960"/>
        </a:xfrm>
        <a:prstGeom prst="rect">
          <a:avLst/>
        </a:prstGeom>
        <a:solidFill>
          <a:srgbClr val="ffffff"/>
        </a:solidFill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7360" bIns="0" anchor="t">
          <a:noAutofit/>
        </a:bodyPr>
        <a:p>
          <a:pPr algn="ctr" defTabSz="914400">
            <a:lnSpc>
              <a:spcPct val="100000"/>
            </a:lnSpc>
            <a:tabLst>
              <a:tab algn="l" pos="0"/>
            </a:tabLst>
          </a:pPr>
          <a:r>
            <a:rPr b="1" lang="ru-RU" sz="1000" spc="-1" strike="noStrike">
              <a:solidFill>
                <a:srgbClr val="000000"/>
              </a:solidFill>
              <a:latin typeface="Arial"/>
              <a:ea typeface="Arial"/>
            </a:rPr>
            <a:t>Согласовано:</a:t>
          </a:r>
          <a:endParaRPr b="0" lang="ru-RU" sz="1000" spc="-1" strike="noStrike">
            <a:latin typeface="Times New Roman"/>
          </a:endParaRPr>
        </a:p>
        <a:p>
          <a:pPr defTabSz="914400">
            <a:lnSpc>
              <a:spcPct val="100000"/>
            </a:lnSpc>
            <a:tabLst>
              <a:tab algn="l" pos="0"/>
            </a:tabLst>
          </a:pPr>
          <a:r>
            <a:rPr b="0" lang="ru-RU" sz="1000" spc="-1" strike="noStrike">
              <a:solidFill>
                <a:srgbClr val="000000"/>
              </a:solidFill>
              <a:latin typeface="Arial"/>
              <a:ea typeface="Arial"/>
            </a:rPr>
            <a:t>Руководитель проекта</a:t>
          </a:r>
          <a:endParaRPr b="0" lang="ru-RU" sz="1000" spc="-1" strike="noStrike">
            <a:latin typeface="Times New Roman"/>
          </a:endParaRPr>
        </a:p>
        <a:p>
          <a:pPr defTabSz="914400">
            <a:lnSpc>
              <a:spcPct val="100000"/>
            </a:lnSpc>
            <a:tabLst>
              <a:tab algn="l" pos="0"/>
            </a:tabLst>
          </a:pPr>
          <a:r>
            <a:rPr b="0" lang="ru-RU" sz="1000" spc="-1" strike="noStrike">
              <a:solidFill>
                <a:srgbClr val="000000"/>
              </a:solidFill>
              <a:latin typeface="Arial"/>
              <a:ea typeface="Arial"/>
            </a:rPr>
            <a:t>НФ АО "ССК"</a:t>
          </a:r>
          <a:endParaRPr b="0" lang="ru-RU" sz="1000" spc="-1" strike="noStrike">
            <a:latin typeface="Times New Roman"/>
          </a:endParaRPr>
        </a:p>
        <a:p>
          <a:pPr algn="ctr" defTabSz="914400">
            <a:lnSpc>
              <a:spcPct val="100000"/>
            </a:lnSpc>
            <a:tabLst>
              <a:tab algn="l" pos="0"/>
            </a:tabLst>
          </a:pPr>
          <a:endParaRPr b="0" lang="ru-RU" sz="1000" spc="-1" strike="noStrike">
            <a:latin typeface="Times New Roman"/>
          </a:endParaRPr>
        </a:p>
        <a:p>
          <a:pPr algn="ctr" defTabSz="914400">
            <a:lnSpc>
              <a:spcPct val="100000"/>
            </a:lnSpc>
            <a:tabLst>
              <a:tab algn="l" pos="0"/>
            </a:tabLst>
          </a:pPr>
          <a:r>
            <a:rPr b="0" lang="ru-RU" sz="1000" spc="-1" strike="noStrike">
              <a:solidFill>
                <a:srgbClr val="000000"/>
              </a:solidFill>
              <a:latin typeface="Arial"/>
              <a:ea typeface="Arial"/>
            </a:rPr>
            <a:t>____________К.А. Башкиров</a:t>
          </a:r>
          <a:endParaRPr b="0" lang="ru-RU" sz="1000" spc="-1" strike="noStrike">
            <a:latin typeface="Times New Roman"/>
          </a:endParaRPr>
        </a:p>
      </xdr:txBody>
    </xdr:sp>
    <xdr:clientData/>
  </xdr:twoCellAnchor>
  <xdr:twoCellAnchor editAs="twoCell">
    <xdr:from>
      <xdr:col>15</xdr:col>
      <xdr:colOff>546840</xdr:colOff>
      <xdr:row>5</xdr:row>
      <xdr:rowOff>166680</xdr:rowOff>
    </xdr:from>
    <xdr:to>
      <xdr:col>17</xdr:col>
      <xdr:colOff>146520</xdr:colOff>
      <xdr:row>11</xdr:row>
      <xdr:rowOff>55800</xdr:rowOff>
    </xdr:to>
    <xdr:sp>
      <xdr:nvSpPr>
        <xdr:cNvPr id="2" name="Rectangle 2"/>
        <xdr:cNvSpPr/>
      </xdr:nvSpPr>
      <xdr:spPr>
        <a:xfrm>
          <a:off x="13488120" y="1071720"/>
          <a:ext cx="3335400" cy="1050840"/>
        </a:xfrm>
        <a:prstGeom prst="rect">
          <a:avLst/>
        </a:prstGeom>
        <a:solidFill>
          <a:srgbClr val="ffffff"/>
        </a:solidFill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7360" bIns="0" anchor="t">
          <a:noAutofit/>
        </a:bodyPr>
        <a:p>
          <a:pPr algn="ctr" defTabSz="914400">
            <a:lnSpc>
              <a:spcPct val="100000"/>
            </a:lnSpc>
            <a:tabLst>
              <a:tab algn="l" pos="0"/>
            </a:tabLst>
          </a:pPr>
          <a:r>
            <a:rPr b="1" lang="ru-RU" sz="1000" spc="-1" strike="noStrike">
              <a:solidFill>
                <a:srgbClr val="000000"/>
              </a:solidFill>
              <a:latin typeface="Arial"/>
              <a:ea typeface="Arial"/>
            </a:rPr>
            <a:t>Согласовано:</a:t>
          </a:r>
          <a:endParaRPr b="0" lang="ru-RU" sz="1000" spc="-1" strike="noStrike">
            <a:latin typeface="Times New Roman"/>
          </a:endParaRPr>
        </a:p>
        <a:p>
          <a:pPr defTabSz="914400">
            <a:lnSpc>
              <a:spcPct val="100000"/>
            </a:lnSpc>
            <a:tabLst>
              <a:tab algn="l" pos="0"/>
            </a:tabLst>
          </a:pPr>
          <a:r>
            <a:rPr b="0" lang="ru-RU" sz="1000" spc="-1" strike="noStrike">
              <a:solidFill>
                <a:srgbClr val="000000"/>
              </a:solidFill>
              <a:latin typeface="Arial"/>
              <a:ea typeface="Arial"/>
            </a:rPr>
            <a:t>ГС-Руководитель направления</a:t>
          </a:r>
          <a:endParaRPr b="0" lang="ru-RU" sz="1000" spc="-1" strike="noStrike">
            <a:latin typeface="Times New Roman"/>
          </a:endParaRPr>
        </a:p>
        <a:p>
          <a:pPr defTabSz="914400">
            <a:lnSpc>
              <a:spcPct val="100000"/>
            </a:lnSpc>
            <a:tabLst>
              <a:tab algn="l" pos="0"/>
            </a:tabLst>
          </a:pPr>
          <a:r>
            <a:rPr b="0" lang="ru-RU" sz="1000" spc="-1" strike="noStrike">
              <a:solidFill>
                <a:srgbClr val="000000"/>
              </a:solidFill>
              <a:latin typeface="Arial"/>
              <a:ea typeface="Arial"/>
            </a:rPr>
            <a:t>по технологическому сопровождению бурения  </a:t>
          </a:r>
          <a:endParaRPr b="0" lang="ru-RU" sz="1000" spc="-1" strike="noStrike">
            <a:latin typeface="Times New Roman"/>
          </a:endParaRPr>
        </a:p>
        <a:p>
          <a:pPr defTabSz="914400">
            <a:lnSpc>
              <a:spcPct val="100000"/>
            </a:lnSpc>
            <a:tabLst>
              <a:tab algn="l" pos="0"/>
            </a:tabLst>
          </a:pPr>
          <a:r>
            <a:rPr b="0" lang="ru-RU" sz="1000" spc="-1" strike="noStrike">
              <a:solidFill>
                <a:srgbClr val="000000"/>
              </a:solidFill>
              <a:latin typeface="Arial"/>
              <a:ea typeface="Arial"/>
            </a:rPr>
            <a:t>ООО "Газпромнефть-Хантос"</a:t>
          </a:r>
          <a:endParaRPr b="0" lang="ru-RU" sz="1000" spc="-1" strike="noStrike">
            <a:latin typeface="Times New Roman"/>
          </a:endParaRPr>
        </a:p>
        <a:p>
          <a:pPr algn="ctr" defTabSz="914400">
            <a:lnSpc>
              <a:spcPct val="100000"/>
            </a:lnSpc>
            <a:tabLst>
              <a:tab algn="l" pos="0"/>
            </a:tabLst>
          </a:pPr>
          <a:endParaRPr b="0" lang="ru-RU" sz="1000" spc="-1" strike="noStrike">
            <a:latin typeface="Times New Roman"/>
          </a:endParaRPr>
        </a:p>
        <a:p>
          <a:pPr algn="ctr" defTabSz="914400">
            <a:lnSpc>
              <a:spcPct val="100000"/>
            </a:lnSpc>
            <a:tabLst>
              <a:tab algn="l" pos="0"/>
            </a:tabLst>
          </a:pPr>
          <a:r>
            <a:rPr b="0" lang="ru-RU" sz="1000" spc="-1" strike="noStrike">
              <a:solidFill>
                <a:srgbClr val="000000"/>
              </a:solidFill>
              <a:latin typeface="Arial"/>
              <a:ea typeface="Arial"/>
            </a:rPr>
            <a:t>______________В.А. Богомягков</a:t>
          </a:r>
          <a:endParaRPr b="0" lang="ru-RU" sz="1000" spc="-1" strike="noStrike">
            <a:latin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11</xdr:col>
      <xdr:colOff>67320</xdr:colOff>
      <xdr:row>0</xdr:row>
      <xdr:rowOff>108000</xdr:rowOff>
    </xdr:from>
    <xdr:to>
      <xdr:col>14</xdr:col>
      <xdr:colOff>1142640</xdr:colOff>
      <xdr:row>7</xdr:row>
      <xdr:rowOff>107640</xdr:rowOff>
    </xdr:to>
    <xdr:sp>
      <xdr:nvSpPr>
        <xdr:cNvPr id="3" name="Rectangle 2"/>
        <xdr:cNvSpPr/>
      </xdr:nvSpPr>
      <xdr:spPr>
        <a:xfrm>
          <a:off x="9065160" y="108000"/>
          <a:ext cx="2672280" cy="1371240"/>
        </a:xfrm>
        <a:prstGeom prst="rect">
          <a:avLst/>
        </a:prstGeom>
        <a:solidFill>
          <a:srgbClr val="ffffff"/>
        </a:solidFill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7360" bIns="0" anchor="t">
          <a:noAutofit/>
        </a:bodyPr>
        <a:p>
          <a:pPr algn="ctr">
            <a:lnSpc>
              <a:spcPct val="100000"/>
            </a:lnSpc>
          </a:pPr>
          <a:r>
            <a:rPr b="1" lang="ru-RU" sz="1050" spc="-1" strike="noStrike">
              <a:solidFill>
                <a:srgbClr val="000000"/>
              </a:solidFill>
              <a:latin typeface="Arial"/>
            </a:rPr>
            <a:t>Согласовано:</a:t>
          </a:r>
          <a:endParaRPr b="0" lang="ru-RU" sz="105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ru-RU" sz="1050" spc="-1" strike="noStrike">
              <a:solidFill>
                <a:srgbClr val="000000"/>
              </a:solidFill>
              <a:latin typeface="Arial"/>
            </a:rPr>
            <a:t>Начальник отдела </a:t>
          </a:r>
          <a:endParaRPr b="0" lang="ru-RU" sz="105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ru-RU" sz="1050" spc="-1" strike="noStrike">
              <a:solidFill>
                <a:srgbClr val="000000"/>
              </a:solidFill>
              <a:latin typeface="Arial"/>
            </a:rPr>
            <a:t>инжиниринга бурения</a:t>
          </a:r>
          <a:endParaRPr b="0" lang="ru-RU" sz="105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ru-RU" sz="1050" spc="-1" strike="noStrike">
              <a:solidFill>
                <a:srgbClr val="000000"/>
              </a:solidFill>
              <a:latin typeface="Arial"/>
            </a:rPr>
            <a:t>ООО "Газпромнефть-Хантос"</a:t>
          </a:r>
          <a:endParaRPr b="0" lang="ru-RU" sz="105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endParaRPr b="0" lang="ru-RU" sz="105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endParaRPr b="0" lang="ru-RU" sz="105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ru-RU" sz="1050" spc="-1" strike="noStrike">
              <a:solidFill>
                <a:srgbClr val="000000"/>
              </a:solidFill>
              <a:latin typeface="Arial"/>
            </a:rPr>
            <a:t>______________А.А. Ерофеев</a:t>
          </a:r>
          <a:endParaRPr b="0" lang="ru-RU" sz="105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253800</xdr:colOff>
      <xdr:row>0</xdr:row>
      <xdr:rowOff>151200</xdr:rowOff>
    </xdr:from>
    <xdr:to>
      <xdr:col>9</xdr:col>
      <xdr:colOff>582480</xdr:colOff>
      <xdr:row>8</xdr:row>
      <xdr:rowOff>156600</xdr:rowOff>
    </xdr:to>
    <xdr:sp>
      <xdr:nvSpPr>
        <xdr:cNvPr id="4" name="Rectangle 2"/>
        <xdr:cNvSpPr/>
      </xdr:nvSpPr>
      <xdr:spPr>
        <a:xfrm>
          <a:off x="5790240" y="151200"/>
          <a:ext cx="2584440" cy="1548360"/>
        </a:xfrm>
        <a:prstGeom prst="rect">
          <a:avLst/>
        </a:prstGeom>
        <a:solidFill>
          <a:srgbClr val="ffffff"/>
        </a:solidFill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7360" bIns="0" anchor="t">
          <a:noAutofit/>
        </a:bodyPr>
        <a:p>
          <a:pPr algn="ctr">
            <a:lnSpc>
              <a:spcPct val="100000"/>
            </a:lnSpc>
          </a:pPr>
          <a:r>
            <a:rPr b="1" lang="ru-RU" sz="1050" spc="-1" strike="noStrike">
              <a:solidFill>
                <a:srgbClr val="000000"/>
              </a:solidFill>
              <a:latin typeface="Arial"/>
            </a:rPr>
            <a:t>Утверждаю:</a:t>
          </a:r>
          <a:endParaRPr b="0" lang="ru-RU" sz="105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19080</xdr:colOff>
      <xdr:row>11</xdr:row>
      <xdr:rowOff>19080</xdr:rowOff>
    </xdr:from>
    <xdr:to>
      <xdr:col>5</xdr:col>
      <xdr:colOff>304560</xdr:colOff>
      <xdr:row>12</xdr:row>
      <xdr:rowOff>142560</xdr:rowOff>
    </xdr:to>
    <xdr:sp>
      <xdr:nvSpPr>
        <xdr:cNvPr id="5" name="Двойные круглые скобки 4"/>
        <xdr:cNvSpPr/>
      </xdr:nvSpPr>
      <xdr:spPr>
        <a:xfrm>
          <a:off x="5555520" y="2124000"/>
          <a:ext cx="637920" cy="657000"/>
        </a:xfrm>
        <a:prstGeom prst="bracketPair">
          <a:avLst>
            <a:gd name="adj" fmla="val 12500"/>
          </a:avLst>
        </a:prstGeom>
        <a:noFill/>
        <a:ln w="9525">
          <a:solidFill>
            <a:srgbClr val="4a7ebb"/>
          </a:solidFill>
          <a:round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38160</xdr:colOff>
      <xdr:row>0</xdr:row>
      <xdr:rowOff>61920</xdr:rowOff>
    </xdr:from>
    <xdr:to>
      <xdr:col>19</xdr:col>
      <xdr:colOff>641520</xdr:colOff>
      <xdr:row>37</xdr:row>
      <xdr:rowOff>95040</xdr:rowOff>
    </xdr:to>
    <xdr:graphicFrame>
      <xdr:nvGraphicFramePr>
        <xdr:cNvPr id="6" name="Диаграмма 1"/>
        <xdr:cNvGraphicFramePr/>
      </xdr:nvGraphicFramePr>
      <xdr:xfrm>
        <a:off x="38160" y="61920"/>
        <a:ext cx="13091400" cy="6376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48</xdr:row>
      <xdr:rowOff>142920</xdr:rowOff>
    </xdr:from>
    <xdr:to>
      <xdr:col>9</xdr:col>
      <xdr:colOff>678240</xdr:colOff>
      <xdr:row>70</xdr:row>
      <xdr:rowOff>130680</xdr:rowOff>
    </xdr:to>
    <xdr:graphicFrame>
      <xdr:nvGraphicFramePr>
        <xdr:cNvPr id="7" name="Диаграмма 1"/>
        <xdr:cNvGraphicFramePr/>
      </xdr:nvGraphicFramePr>
      <xdr:xfrm>
        <a:off x="0" y="9391680"/>
        <a:ext cx="8159040" cy="3969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11880</xdr:colOff>
      <xdr:row>71</xdr:row>
      <xdr:rowOff>71280</xdr:rowOff>
    </xdr:from>
    <xdr:to>
      <xdr:col>9</xdr:col>
      <xdr:colOff>690120</xdr:colOff>
      <xdr:row>91</xdr:row>
      <xdr:rowOff>59040</xdr:rowOff>
    </xdr:to>
    <xdr:graphicFrame>
      <xdr:nvGraphicFramePr>
        <xdr:cNvPr id="8" name="Диаграмма 2"/>
        <xdr:cNvGraphicFramePr/>
      </xdr:nvGraphicFramePr>
      <xdr:xfrm>
        <a:off x="11880" y="13482360"/>
        <a:ext cx="8159040" cy="3607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itchFamily="0" charset="1"/>
        <a:ea typeface="Arial" pitchFamily="0" charset="1"/>
        <a:cs typeface="Arial" pitchFamily="0" charset="1"/>
      </a:majorFont>
      <a:minorFont>
        <a:latin typeface="Calibri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0" t="0" r="0" b="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0" t="0" r="0" b="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true"/>
  </sheetPr>
  <dimension ref="A1:AJ302"/>
  <sheetViews>
    <sheetView showFormulas="false" showGridLines="false" showRowColHeaders="true" showZeros="true" rightToLeft="false" tabSelected="true" showOutlineSymbols="true" defaultGridColor="true" view="normal" topLeftCell="A1" colorId="64" zoomScale="96" zoomScaleNormal="96" zoomScalePageLayoutView="100" workbookViewId="0">
      <selection pane="topLeft" activeCell="C23" activeCellId="0" sqref="C23"/>
    </sheetView>
  </sheetViews>
  <sheetFormatPr defaultColWidth="9.109375" defaultRowHeight="13.5" zeroHeight="false" outlineLevelRow="1" outlineLevelCol="0"/>
  <cols>
    <col collapsed="false" customWidth="true" hidden="false" outlineLevel="0" max="1" min="1" style="1" width="6.95"/>
    <col collapsed="false" customWidth="true" hidden="false" outlineLevel="0" max="2" min="2" style="2" width="24.11"/>
    <col collapsed="false" customWidth="true" hidden="false" outlineLevel="0" max="3" min="3" style="2" width="25.11"/>
    <col collapsed="false" customWidth="true" hidden="false" outlineLevel="0" max="4" min="4" style="2" width="31.44"/>
    <col collapsed="false" customWidth="true" hidden="false" outlineLevel="0" max="5" min="5" style="2" width="6.67"/>
    <col collapsed="false" customWidth="true" hidden="false" outlineLevel="0" max="7" min="6" style="2" width="4.56"/>
    <col collapsed="false" customWidth="true" hidden="false" outlineLevel="0" max="8" min="8" style="2" width="9"/>
    <col collapsed="false" customWidth="true" hidden="false" outlineLevel="0" max="9" min="9" style="2" width="5.66"/>
    <col collapsed="false" customWidth="true" hidden="false" outlineLevel="0" max="10" min="10" style="2" width="15.44"/>
    <col collapsed="false" customWidth="true" hidden="false" outlineLevel="0" max="11" min="11" style="2" width="9.67"/>
    <col collapsed="false" customWidth="true" hidden="false" outlineLevel="0" max="12" min="12" style="2" width="5.66"/>
    <col collapsed="false" customWidth="true" hidden="false" outlineLevel="0" max="14" min="13" style="2" width="9.67"/>
    <col collapsed="false" customWidth="true" hidden="false" outlineLevel="0" max="15" min="15" style="2" width="15.44"/>
    <col collapsed="false" customWidth="true" hidden="false" outlineLevel="0" max="16" min="16" style="2" width="44"/>
    <col collapsed="false" customWidth="true" hidden="false" outlineLevel="0" max="17" min="17" style="2" width="9"/>
    <col collapsed="false" customWidth="true" hidden="false" outlineLevel="0" max="18" min="18" style="2" width="5.66"/>
    <col collapsed="false" customWidth="true" hidden="false" outlineLevel="0" max="19" min="19" style="2" width="23.56"/>
    <col collapsed="false" customWidth="true" hidden="true" outlineLevel="0" max="20" min="20" style="2" width="2.56"/>
    <col collapsed="false" customWidth="true" hidden="true" outlineLevel="0" max="21" min="21" style="2" width="10"/>
    <col collapsed="false" customWidth="true" hidden="true" outlineLevel="0" max="23" min="22" style="3" width="10"/>
    <col collapsed="false" customWidth="true" hidden="true" outlineLevel="0" max="24" min="24" style="2" width="15.66"/>
    <col collapsed="false" customWidth="true" hidden="true" outlineLevel="0" max="25" min="25" style="2" width="12.33"/>
    <col collapsed="false" customWidth="true" hidden="true" outlineLevel="0" max="26" min="26" style="2" width="14.88"/>
    <col collapsed="false" customWidth="true" hidden="true" outlineLevel="0" max="32" min="27" style="2" width="6.56"/>
    <col collapsed="false" customWidth="true" hidden="true" outlineLevel="0" max="33" min="33" style="2" width="4"/>
    <col collapsed="false" customWidth="true" hidden="true" outlineLevel="0" max="34" min="34" style="2" width="11.53"/>
    <col collapsed="false" customWidth="true" hidden="true" outlineLevel="0" max="35" min="35" style="2" width="4.33"/>
    <col collapsed="false" customWidth="true" hidden="false" outlineLevel="0" max="36" min="36" style="2" width="11.44"/>
    <col collapsed="false" customWidth="false" hidden="false" outlineLevel="0" max="16384" min="37" style="2" width="9.11"/>
  </cols>
  <sheetData>
    <row r="1" customFormat="false" ht="15" hidden="false" customHeight="true" outlineLevel="1" collapsed="false">
      <c r="A1" s="4" t="s">
        <v>0</v>
      </c>
      <c r="B1" s="4"/>
      <c r="C1" s="4"/>
      <c r="D1" s="5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7"/>
      <c r="Q1" s="7"/>
      <c r="R1" s="6"/>
      <c r="S1" s="8"/>
      <c r="X1" s="1"/>
      <c r="Z1" s="1"/>
    </row>
    <row r="2" customFormat="false" ht="12.75" hidden="false" customHeight="true" outlineLevel="1" collapsed="false">
      <c r="A2" s="9"/>
      <c r="B2" s="10" t="s">
        <v>1</v>
      </c>
      <c r="C2" s="10"/>
      <c r="D2" s="11" t="s">
        <v>2</v>
      </c>
      <c r="E2" s="11"/>
      <c r="F2" s="11"/>
      <c r="G2" s="11"/>
      <c r="H2" s="11"/>
      <c r="I2" s="11"/>
      <c r="J2" s="11"/>
      <c r="K2" s="12" t="s">
        <v>3</v>
      </c>
      <c r="L2" s="12"/>
      <c r="M2" s="12"/>
      <c r="N2" s="12"/>
      <c r="O2" s="12"/>
      <c r="P2" s="13"/>
      <c r="Q2" s="14"/>
      <c r="R2" s="15"/>
      <c r="S2" s="16"/>
    </row>
    <row r="3" customFormat="false" ht="16.5" hidden="false" customHeight="true" outlineLevel="1" collapsed="false">
      <c r="A3" s="17"/>
      <c r="B3" s="18" t="s">
        <v>4</v>
      </c>
      <c r="C3" s="19" t="s">
        <v>5</v>
      </c>
      <c r="D3" s="20" t="s">
        <v>6</v>
      </c>
      <c r="E3" s="21" t="s">
        <v>7</v>
      </c>
      <c r="F3" s="21"/>
      <c r="G3" s="21"/>
      <c r="H3" s="21"/>
      <c r="I3" s="21"/>
      <c r="J3" s="21"/>
      <c r="K3" s="22" t="s">
        <v>8</v>
      </c>
      <c r="L3" s="22"/>
      <c r="M3" s="22"/>
      <c r="N3" s="23" t="n">
        <v>45499.625</v>
      </c>
      <c r="O3" s="23"/>
      <c r="P3" s="13"/>
      <c r="Q3" s="14"/>
      <c r="R3" s="14"/>
      <c r="S3" s="16"/>
      <c r="X3" s="1"/>
    </row>
    <row r="4" customFormat="false" ht="13.5" hidden="false" customHeight="true" outlineLevel="1" collapsed="false">
      <c r="A4" s="17"/>
      <c r="B4" s="24" t="s">
        <v>9</v>
      </c>
      <c r="C4" s="25" t="s">
        <v>10</v>
      </c>
      <c r="D4" s="26" t="s">
        <v>11</v>
      </c>
      <c r="E4" s="27" t="s">
        <v>12</v>
      </c>
      <c r="F4" s="28"/>
      <c r="G4" s="29"/>
      <c r="H4" s="30" t="s">
        <v>13</v>
      </c>
      <c r="I4" s="31" t="s">
        <v>14</v>
      </c>
      <c r="J4" s="32" t="s">
        <v>15</v>
      </c>
      <c r="K4" s="33" t="s">
        <v>16</v>
      </c>
      <c r="L4" s="33"/>
      <c r="M4" s="33"/>
      <c r="N4" s="34" t="n">
        <f aca="false">J82</f>
        <v>45526.4375</v>
      </c>
      <c r="O4" s="34"/>
      <c r="P4" s="13"/>
      <c r="Q4" s="14"/>
      <c r="R4" s="14"/>
      <c r="S4" s="16"/>
      <c r="X4" s="1"/>
      <c r="Y4" s="1"/>
    </row>
    <row r="5" customFormat="false" ht="13.5" hidden="false" customHeight="true" outlineLevel="1" collapsed="false">
      <c r="A5" s="17"/>
      <c r="B5" s="24" t="s">
        <v>17</v>
      </c>
      <c r="C5" s="35" t="s">
        <v>18</v>
      </c>
      <c r="D5" s="36" t="n">
        <v>245</v>
      </c>
      <c r="E5" s="37" t="n">
        <v>80</v>
      </c>
      <c r="F5" s="28"/>
      <c r="G5" s="29"/>
      <c r="H5" s="30" t="n">
        <v>80</v>
      </c>
      <c r="I5" s="30"/>
      <c r="J5" s="38" t="n">
        <f aca="false">ROUNDUP((E5-5)/11.3,0)</f>
        <v>7</v>
      </c>
      <c r="K5" s="33" t="s">
        <v>19</v>
      </c>
      <c r="L5" s="33"/>
      <c r="M5" s="33"/>
      <c r="N5" s="34" t="n">
        <f aca="false">O82</f>
        <v>45517.1875</v>
      </c>
      <c r="O5" s="34"/>
      <c r="P5" s="13"/>
      <c r="Q5" s="14"/>
      <c r="R5" s="14"/>
      <c r="S5" s="16"/>
      <c r="Z5" s="1"/>
    </row>
    <row r="6" customFormat="false" ht="13.5" hidden="false" customHeight="true" outlineLevel="1" collapsed="false">
      <c r="A6" s="17"/>
      <c r="B6" s="24" t="s">
        <v>20</v>
      </c>
      <c r="C6" s="25" t="n">
        <v>43820</v>
      </c>
      <c r="D6" s="36" t="n">
        <v>178</v>
      </c>
      <c r="E6" s="37" t="n">
        <v>2543.15</v>
      </c>
      <c r="F6" s="28"/>
      <c r="G6" s="29"/>
      <c r="H6" s="30" t="n">
        <v>2543.31</v>
      </c>
      <c r="I6" s="39" t="n">
        <f aca="false">ROUNDUP((E6-E5)/25.5,0)</f>
        <v>97</v>
      </c>
      <c r="J6" s="38" t="n">
        <f aca="false">ROUNDUP((E6-E5-5)/11.3,0)</f>
        <v>218</v>
      </c>
      <c r="K6" s="40" t="s">
        <v>21</v>
      </c>
      <c r="L6" s="40"/>
      <c r="M6" s="40"/>
      <c r="N6" s="41" t="n">
        <f aca="false">N3+R84</f>
        <v>45527.778125</v>
      </c>
      <c r="O6" s="41"/>
      <c r="P6" s="13"/>
      <c r="Q6" s="14"/>
      <c r="R6" s="14"/>
      <c r="S6" s="16"/>
    </row>
    <row r="7" customFormat="false" ht="13.5" hidden="false" customHeight="false" outlineLevel="1" collapsed="false">
      <c r="A7" s="17"/>
      <c r="B7" s="24" t="s">
        <v>22</v>
      </c>
      <c r="C7" s="25" t="s">
        <v>23</v>
      </c>
      <c r="D7" s="36" t="s">
        <v>24</v>
      </c>
      <c r="E7" s="37" t="n">
        <v>3160</v>
      </c>
      <c r="F7" s="28"/>
      <c r="G7" s="29"/>
      <c r="H7" s="30"/>
      <c r="I7" s="39" t="n">
        <f aca="false">ROUNDUP((E7-E6)/25.5,0)</f>
        <v>25</v>
      </c>
      <c r="J7" s="38" t="n">
        <f aca="false">ROUNDUP((E7-E6-5)/11.3,0)</f>
        <v>55</v>
      </c>
      <c r="K7" s="42" t="str">
        <f aca="false">H17</f>
        <v>План</v>
      </c>
      <c r="L7" s="42"/>
      <c r="M7" s="42"/>
      <c r="N7" s="43" t="n">
        <f aca="false">I84</f>
        <v>28.153125</v>
      </c>
      <c r="O7" s="43"/>
      <c r="P7" s="13"/>
      <c r="Q7" s="14"/>
      <c r="R7" s="14"/>
      <c r="S7" s="16"/>
    </row>
    <row r="8" customFormat="false" ht="16.5" hidden="false" customHeight="true" outlineLevel="1" collapsed="false">
      <c r="A8" s="17"/>
      <c r="B8" s="24" t="s">
        <v>25</v>
      </c>
      <c r="C8" s="25" t="s">
        <v>26</v>
      </c>
      <c r="D8" s="36" t="n">
        <v>114</v>
      </c>
      <c r="E8" s="37" t="n">
        <v>4660</v>
      </c>
      <c r="F8" s="28"/>
      <c r="G8" s="29"/>
      <c r="H8" s="30"/>
      <c r="I8" s="39" t="n">
        <f aca="false">ROUNDUP((E8-E7)/25.5,0)</f>
        <v>59</v>
      </c>
      <c r="J8" s="38" t="n">
        <f aca="false">ROUNDUP((E8-E7-5)/11.3,0)</f>
        <v>133</v>
      </c>
      <c r="K8" s="33" t="s">
        <v>27</v>
      </c>
      <c r="L8" s="33"/>
      <c r="M8" s="33"/>
      <c r="N8" s="44" t="n">
        <f aca="false">N5-N3</f>
        <v>17.5625000000073</v>
      </c>
      <c r="O8" s="44"/>
      <c r="P8" s="13"/>
      <c r="Q8" s="14"/>
      <c r="R8" s="14"/>
      <c r="S8" s="16"/>
    </row>
    <row r="9" customFormat="false" ht="15" hidden="false" customHeight="true" outlineLevel="1" collapsed="false">
      <c r="A9" s="17"/>
      <c r="B9" s="45" t="s">
        <v>28</v>
      </c>
      <c r="C9" s="25"/>
      <c r="D9" s="24"/>
      <c r="E9" s="46"/>
      <c r="F9" s="46"/>
      <c r="G9" s="46"/>
      <c r="H9" s="32"/>
      <c r="I9" s="32"/>
      <c r="J9" s="32"/>
      <c r="K9" s="47" t="str">
        <f aca="false">Q17</f>
        <v>План для бонуса</v>
      </c>
      <c r="L9" s="47"/>
      <c r="M9" s="47"/>
      <c r="N9" s="48" t="n">
        <f aca="false">N6-N3</f>
        <v>28.1531249999971</v>
      </c>
      <c r="O9" s="48"/>
      <c r="P9" s="13"/>
      <c r="Q9" s="14"/>
      <c r="R9" s="14"/>
      <c r="S9" s="16"/>
    </row>
    <row r="10" customFormat="false" ht="16.5" hidden="false" customHeight="true" outlineLevel="1" collapsed="false">
      <c r="A10" s="17"/>
      <c r="B10" s="24"/>
      <c r="C10" s="25"/>
      <c r="D10" s="24" t="s">
        <v>29</v>
      </c>
      <c r="E10" s="46" t="n">
        <f aca="false">E8-E7</f>
        <v>1500</v>
      </c>
      <c r="F10" s="46"/>
      <c r="G10" s="46"/>
      <c r="H10" s="32" t="n">
        <f aca="false">H8-H7</f>
        <v>0</v>
      </c>
      <c r="I10" s="32"/>
      <c r="J10" s="32"/>
      <c r="K10" s="49" t="s">
        <v>30</v>
      </c>
      <c r="L10" s="50" t="s">
        <v>12</v>
      </c>
      <c r="M10" s="50"/>
      <c r="N10" s="43" t="n">
        <f aca="false">N7/E13*1000</f>
        <v>6.04144313304721</v>
      </c>
      <c r="O10" s="43"/>
      <c r="P10" s="13"/>
      <c r="Q10" s="14"/>
      <c r="R10" s="14"/>
      <c r="S10" s="16"/>
    </row>
    <row r="11" customFormat="false" ht="16.5" hidden="false" customHeight="true" outlineLevel="1" collapsed="false">
      <c r="A11" s="17"/>
      <c r="B11" s="24"/>
      <c r="C11" s="25"/>
      <c r="D11" s="51" t="s">
        <v>31</v>
      </c>
      <c r="E11" s="37"/>
      <c r="F11" s="52"/>
      <c r="G11" s="52" t="n">
        <f aca="false">E11-F11</f>
        <v>0</v>
      </c>
      <c r="H11" s="53"/>
      <c r="I11" s="53"/>
      <c r="J11" s="54" t="n">
        <v>0</v>
      </c>
      <c r="K11" s="49"/>
      <c r="L11" s="55" t="s">
        <v>32</v>
      </c>
      <c r="M11" s="55"/>
      <c r="N11" s="44" t="n">
        <f aca="false">N8/E13*1000</f>
        <v>3.7687768240359</v>
      </c>
      <c r="O11" s="44"/>
      <c r="P11" s="13"/>
      <c r="Q11" s="14"/>
      <c r="R11" s="14"/>
      <c r="S11" s="16"/>
    </row>
    <row r="12" customFormat="false" ht="18.75" hidden="false" customHeight="true" outlineLevel="1" collapsed="false">
      <c r="A12" s="17"/>
      <c r="B12" s="24"/>
      <c r="C12" s="25"/>
      <c r="D12" s="51" t="s">
        <v>33</v>
      </c>
      <c r="E12" s="37"/>
      <c r="F12" s="52"/>
      <c r="G12" s="52" t="n">
        <f aca="false">E12-F12</f>
        <v>0</v>
      </c>
      <c r="H12" s="53"/>
      <c r="I12" s="53"/>
      <c r="J12" s="54" t="n">
        <v>0</v>
      </c>
      <c r="K12" s="49"/>
      <c r="L12" s="56" t="s">
        <v>21</v>
      </c>
      <c r="M12" s="56"/>
      <c r="N12" s="57" t="n">
        <f aca="false">N9/E13*1000</f>
        <v>6.04144313304659</v>
      </c>
      <c r="O12" s="57"/>
      <c r="P12" s="13"/>
      <c r="Q12" s="14"/>
      <c r="R12" s="14"/>
      <c r="S12" s="16"/>
    </row>
    <row r="13" customFormat="false" ht="14.25" hidden="false" customHeight="true" outlineLevel="1" collapsed="false">
      <c r="A13" s="17"/>
      <c r="B13" s="24"/>
      <c r="C13" s="25"/>
      <c r="D13" s="58" t="s">
        <v>34</v>
      </c>
      <c r="E13" s="46" t="n">
        <f aca="false">E8+G11+G12</f>
        <v>4660</v>
      </c>
      <c r="F13" s="46"/>
      <c r="G13" s="46"/>
      <c r="H13" s="59"/>
      <c r="I13" s="59"/>
      <c r="J13" s="59"/>
      <c r="K13" s="60" t="s">
        <v>35</v>
      </c>
      <c r="L13" s="60"/>
      <c r="M13" s="60"/>
      <c r="N13" s="61" t="n">
        <f aca="false">N5-N4</f>
        <v>-9.24999999999272</v>
      </c>
      <c r="O13" s="61"/>
      <c r="P13" s="13"/>
      <c r="Q13" s="14"/>
      <c r="R13" s="14"/>
      <c r="S13" s="16"/>
    </row>
    <row r="14" customFormat="false" ht="14.25" hidden="false" customHeight="true" outlineLevel="1" collapsed="false">
      <c r="A14" s="17"/>
      <c r="B14" s="24"/>
      <c r="C14" s="25"/>
      <c r="D14" s="58" t="s">
        <v>36</v>
      </c>
      <c r="E14" s="46"/>
      <c r="F14" s="46"/>
      <c r="G14" s="46"/>
      <c r="H14" s="59"/>
      <c r="I14" s="59"/>
      <c r="J14" s="59"/>
      <c r="K14" s="62" t="s">
        <v>37</v>
      </c>
      <c r="L14" s="62"/>
      <c r="M14" s="62"/>
      <c r="N14" s="63" t="n">
        <f aca="false">'реестр НПВ'!M56/('Глубина-день'!N8*24-'реестр НПВ'!M63)</f>
        <v>0</v>
      </c>
      <c r="O14" s="63"/>
      <c r="P14" s="13"/>
      <c r="Q14" s="14"/>
      <c r="R14" s="14"/>
      <c r="S14" s="16"/>
    </row>
    <row r="15" customFormat="false" ht="16.5" hidden="false" customHeight="true" outlineLevel="1" collapsed="false">
      <c r="A15" s="17"/>
      <c r="B15" s="64"/>
      <c r="C15" s="65"/>
      <c r="D15" s="66"/>
      <c r="E15" s="67"/>
      <c r="F15" s="67"/>
      <c r="G15" s="67"/>
      <c r="H15" s="68"/>
      <c r="I15" s="68"/>
      <c r="J15" s="68"/>
      <c r="K15" s="69" t="s">
        <v>38</v>
      </c>
      <c r="L15" s="69"/>
      <c r="M15" s="69"/>
      <c r="N15" s="69"/>
      <c r="O15" s="69"/>
      <c r="P15" s="13"/>
      <c r="Q15" s="14"/>
      <c r="R15" s="14"/>
      <c r="S15" s="16"/>
    </row>
    <row r="16" customFormat="false" ht="13.5" hidden="false" customHeight="false" outlineLevel="1" collapsed="false">
      <c r="A16" s="17"/>
      <c r="B16" s="70"/>
      <c r="C16" s="70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6"/>
    </row>
    <row r="17" customFormat="false" ht="16.5" hidden="false" customHeight="true" outlineLevel="0" collapsed="false">
      <c r="A17" s="71" t="s">
        <v>39</v>
      </c>
      <c r="B17" s="71"/>
      <c r="C17" s="71"/>
      <c r="D17" s="71"/>
      <c r="E17" s="71"/>
      <c r="F17" s="71"/>
      <c r="G17" s="71"/>
      <c r="H17" s="72" t="s">
        <v>12</v>
      </c>
      <c r="I17" s="72"/>
      <c r="J17" s="72"/>
      <c r="K17" s="72" t="s">
        <v>13</v>
      </c>
      <c r="L17" s="72"/>
      <c r="M17" s="72"/>
      <c r="N17" s="72"/>
      <c r="O17" s="72"/>
      <c r="P17" s="72"/>
      <c r="Q17" s="72" t="s">
        <v>21</v>
      </c>
      <c r="R17" s="72"/>
      <c r="S17" s="73" t="s">
        <v>40</v>
      </c>
      <c r="T17" s="1"/>
      <c r="U17" s="1"/>
      <c r="V17" s="74"/>
      <c r="W17" s="74"/>
      <c r="AA17" s="1"/>
      <c r="AB17" s="1"/>
      <c r="AC17" s="1"/>
      <c r="AD17" s="1"/>
      <c r="AE17" s="1"/>
      <c r="AF17" s="1"/>
      <c r="AG17" s="1"/>
      <c r="AH17" s="1"/>
    </row>
    <row r="18" customFormat="false" ht="13.5" hidden="false" customHeight="true" outlineLevel="0" collapsed="false">
      <c r="A18" s="75" t="s">
        <v>41</v>
      </c>
      <c r="B18" s="76" t="s">
        <v>39</v>
      </c>
      <c r="C18" s="77" t="s">
        <v>42</v>
      </c>
      <c r="D18" s="77"/>
      <c r="E18" s="76" t="s">
        <v>43</v>
      </c>
      <c r="F18" s="78" t="s">
        <v>44</v>
      </c>
      <c r="G18" s="78"/>
      <c r="H18" s="76" t="s">
        <v>45</v>
      </c>
      <c r="I18" s="76" t="s">
        <v>46</v>
      </c>
      <c r="J18" s="76" t="s">
        <v>47</v>
      </c>
      <c r="K18" s="76" t="s">
        <v>45</v>
      </c>
      <c r="L18" s="79" t="s">
        <v>48</v>
      </c>
      <c r="M18" s="76" t="s">
        <v>49</v>
      </c>
      <c r="N18" s="76" t="s">
        <v>50</v>
      </c>
      <c r="O18" s="31" t="s">
        <v>47</v>
      </c>
      <c r="P18" s="76" t="s">
        <v>51</v>
      </c>
      <c r="Q18" s="76" t="s">
        <v>45</v>
      </c>
      <c r="R18" s="76" t="s">
        <v>46</v>
      </c>
      <c r="S18" s="80" t="s">
        <v>42</v>
      </c>
      <c r="T18" s="1"/>
      <c r="U18" s="1"/>
      <c r="V18" s="74"/>
      <c r="W18" s="74"/>
      <c r="AA18" s="1"/>
      <c r="AB18" s="1"/>
      <c r="AC18" s="1"/>
      <c r="AD18" s="1"/>
      <c r="AE18" s="1"/>
      <c r="AF18" s="1"/>
      <c r="AG18" s="1"/>
      <c r="AH18" s="1"/>
    </row>
    <row r="19" customFormat="false" ht="13.5" hidden="false" customHeight="true" outlineLevel="0" collapsed="false">
      <c r="A19" s="75"/>
      <c r="B19" s="76"/>
      <c r="C19" s="77"/>
      <c r="D19" s="77"/>
      <c r="E19" s="76"/>
      <c r="F19" s="76" t="s">
        <v>52</v>
      </c>
      <c r="G19" s="76" t="s">
        <v>53</v>
      </c>
      <c r="H19" s="76"/>
      <c r="I19" s="76"/>
      <c r="J19" s="76"/>
      <c r="K19" s="76"/>
      <c r="L19" s="79"/>
      <c r="M19" s="76"/>
      <c r="N19" s="76"/>
      <c r="O19" s="76" t="s">
        <v>54</v>
      </c>
      <c r="P19" s="76"/>
      <c r="Q19" s="76"/>
      <c r="R19" s="76"/>
      <c r="S19" s="80"/>
      <c r="T19" s="1"/>
      <c r="U19" s="1"/>
      <c r="V19" s="74"/>
      <c r="W19" s="74"/>
      <c r="AA19" s="1"/>
      <c r="AB19" s="1"/>
      <c r="AC19" s="1"/>
      <c r="AD19" s="1"/>
      <c r="AE19" s="1"/>
      <c r="AF19" s="1"/>
      <c r="AG19" s="1"/>
      <c r="AH19" s="1"/>
    </row>
    <row r="20" customFormat="false" ht="13.5" hidden="false" customHeight="true" outlineLevel="0" collapsed="false">
      <c r="A20" s="81" t="n">
        <v>1</v>
      </c>
      <c r="B20" s="82" t="s">
        <v>55</v>
      </c>
      <c r="C20" s="83" t="s">
        <v>56</v>
      </c>
      <c r="D20" s="83"/>
      <c r="E20" s="84" t="n">
        <v>245</v>
      </c>
      <c r="F20" s="85" t="n">
        <v>0</v>
      </c>
      <c r="G20" s="85"/>
      <c r="H20" s="85" t="n">
        <f aca="false">G20</f>
        <v>0</v>
      </c>
      <c r="I20" s="86" t="n">
        <v>0.5</v>
      </c>
      <c r="J20" s="87" t="n">
        <f aca="false">N3+I20/24</f>
        <v>45499.6458333333</v>
      </c>
      <c r="K20" s="88" t="n">
        <v>0</v>
      </c>
      <c r="L20" s="88" t="n">
        <v>0.25</v>
      </c>
      <c r="M20" s="88"/>
      <c r="N20" s="89" t="n">
        <f aca="false">IF(L20="","",L20-I20)</f>
        <v>-0.25</v>
      </c>
      <c r="O20" s="87" t="n">
        <f aca="false">IF(L20&lt;&gt;"",N3+L20/24,N3+I20/24)</f>
        <v>45499.6354166667</v>
      </c>
      <c r="P20" s="90"/>
      <c r="Q20" s="91" t="n">
        <v>0</v>
      </c>
      <c r="R20" s="91" t="n">
        <v>0.5</v>
      </c>
      <c r="S20" s="92"/>
      <c r="T20" s="1"/>
      <c r="U20" s="1"/>
      <c r="V20" s="74"/>
      <c r="W20" s="74"/>
      <c r="AA20" s="1"/>
      <c r="AB20" s="1"/>
      <c r="AC20" s="1"/>
      <c r="AD20" s="1"/>
      <c r="AE20" s="1"/>
      <c r="AF20" s="1"/>
      <c r="AG20" s="1"/>
      <c r="AH20" s="1"/>
    </row>
    <row r="21" customFormat="false" ht="13.5" hidden="false" customHeight="true" outlineLevel="0" collapsed="false">
      <c r="A21" s="26" t="n">
        <f aca="false">A20+1</f>
        <v>2</v>
      </c>
      <c r="B21" s="93" t="s">
        <v>57</v>
      </c>
      <c r="C21" s="94" t="s">
        <v>58</v>
      </c>
      <c r="D21" s="94"/>
      <c r="E21" s="84" t="n">
        <v>245</v>
      </c>
      <c r="F21" s="39" t="n">
        <f aca="false">F20</f>
        <v>0</v>
      </c>
      <c r="G21" s="39" t="n">
        <f aca="false">E5</f>
        <v>80</v>
      </c>
      <c r="H21" s="39" t="n">
        <f aca="false">G21</f>
        <v>80</v>
      </c>
      <c r="I21" s="55" t="n">
        <v>2</v>
      </c>
      <c r="J21" s="95" t="n">
        <f aca="false">IF(I21&lt;&gt;"",J20+I21/24,"")</f>
        <v>45499.7291666667</v>
      </c>
      <c r="K21" s="46" t="n">
        <v>80</v>
      </c>
      <c r="L21" s="46" t="n">
        <v>1</v>
      </c>
      <c r="M21" s="46"/>
      <c r="N21" s="89" t="n">
        <f aca="false">IF(L21="","",L21-I21)</f>
        <v>-1</v>
      </c>
      <c r="O21" s="95" t="n">
        <f aca="false">IF(L21&lt;&gt;"",O20+L21/24,O20+I21/24)</f>
        <v>45499.6770833333</v>
      </c>
      <c r="P21" s="96"/>
      <c r="Q21" s="97" t="n">
        <v>80</v>
      </c>
      <c r="R21" s="98" t="n">
        <v>2</v>
      </c>
      <c r="S21" s="99"/>
      <c r="T21" s="1"/>
      <c r="U21" s="1"/>
      <c r="V21" s="74"/>
      <c r="W21" s="74"/>
      <c r="AA21" s="1"/>
      <c r="AB21" s="1"/>
      <c r="AC21" s="1"/>
      <c r="AD21" s="1"/>
      <c r="AE21" s="1"/>
      <c r="AF21" s="1"/>
      <c r="AG21" s="1"/>
      <c r="AH21" s="1"/>
    </row>
    <row r="22" customFormat="false" ht="13.5" hidden="false" customHeight="true" outlineLevel="0" collapsed="false">
      <c r="A22" s="81" t="n">
        <v>3</v>
      </c>
      <c r="B22" s="93" t="s">
        <v>59</v>
      </c>
      <c r="C22" s="94" t="s">
        <v>60</v>
      </c>
      <c r="D22" s="94"/>
      <c r="E22" s="84" t="n">
        <v>245</v>
      </c>
      <c r="F22" s="39" t="n">
        <f aca="false">F21</f>
        <v>0</v>
      </c>
      <c r="G22" s="39" t="n">
        <f aca="false">G21</f>
        <v>80</v>
      </c>
      <c r="H22" s="39" t="n">
        <f aca="false">H21</f>
        <v>80</v>
      </c>
      <c r="I22" s="55" t="n">
        <v>1</v>
      </c>
      <c r="J22" s="95" t="n">
        <f aca="false">IF(I22&lt;&gt;"",J21+I22/24,"")</f>
        <v>45499.7708333333</v>
      </c>
      <c r="K22" s="46" t="n">
        <v>80</v>
      </c>
      <c r="L22" s="46" t="n">
        <v>0.5</v>
      </c>
      <c r="M22" s="46"/>
      <c r="N22" s="89" t="n">
        <f aca="false">IF(L22="","",L22-I22)</f>
        <v>-0.5</v>
      </c>
      <c r="O22" s="95" t="n">
        <f aca="false">IF(L22&lt;&gt;"",O21+L22/24,O21+I22/24)</f>
        <v>45499.6979166667</v>
      </c>
      <c r="P22" s="96"/>
      <c r="Q22" s="97" t="n">
        <v>80</v>
      </c>
      <c r="R22" s="98" t="n">
        <v>1</v>
      </c>
      <c r="S22" s="99"/>
      <c r="T22" s="1"/>
      <c r="U22" s="1"/>
      <c r="V22" s="74"/>
      <c r="W22" s="74"/>
      <c r="AA22" s="1"/>
      <c r="AB22" s="1"/>
      <c r="AC22" s="1"/>
      <c r="AD22" s="1"/>
      <c r="AE22" s="1"/>
      <c r="AF22" s="1"/>
      <c r="AG22" s="1"/>
      <c r="AH22" s="1"/>
    </row>
    <row r="23" customFormat="false" ht="13.5" hidden="false" customHeight="true" outlineLevel="0" collapsed="false">
      <c r="A23" s="26" t="n">
        <f aca="false">A22+1</f>
        <v>4</v>
      </c>
      <c r="B23" s="93" t="s">
        <v>55</v>
      </c>
      <c r="C23" s="94" t="s">
        <v>61</v>
      </c>
      <c r="D23" s="94"/>
      <c r="E23" s="84" t="n">
        <v>245</v>
      </c>
      <c r="F23" s="39"/>
      <c r="G23" s="39"/>
      <c r="H23" s="39" t="n">
        <f aca="false">H22</f>
        <v>80</v>
      </c>
      <c r="I23" s="55" t="n">
        <v>0.5</v>
      </c>
      <c r="J23" s="95" t="n">
        <f aca="false">IF(I23&lt;&gt;"",J22+I23/24,"")</f>
        <v>45499.7916666667</v>
      </c>
      <c r="K23" s="46" t="n">
        <v>80</v>
      </c>
      <c r="L23" s="46" t="n">
        <v>0.5</v>
      </c>
      <c r="M23" s="46"/>
      <c r="N23" s="89" t="n">
        <f aca="false">IF(L23="","",L23-I23)</f>
        <v>0</v>
      </c>
      <c r="O23" s="95" t="n">
        <f aca="false">IF(L23&lt;&gt;"",O22+L23/24,O22+I23/24)</f>
        <v>45499.71875</v>
      </c>
      <c r="P23" s="96"/>
      <c r="Q23" s="97" t="n">
        <v>80</v>
      </c>
      <c r="R23" s="98" t="n">
        <v>0.5</v>
      </c>
      <c r="S23" s="99"/>
      <c r="T23" s="1"/>
      <c r="U23" s="1"/>
      <c r="V23" s="74"/>
      <c r="W23" s="74"/>
      <c r="AA23" s="1"/>
      <c r="AB23" s="1"/>
      <c r="AC23" s="1"/>
      <c r="AD23" s="1"/>
      <c r="AE23" s="1"/>
      <c r="AF23" s="1"/>
      <c r="AG23" s="1"/>
      <c r="AH23" s="1"/>
    </row>
    <row r="24" customFormat="false" ht="13.5" hidden="false" customHeight="true" outlineLevel="0" collapsed="false">
      <c r="A24" s="81" t="n">
        <v>5</v>
      </c>
      <c r="B24" s="93" t="s">
        <v>62</v>
      </c>
      <c r="C24" s="94" t="s">
        <v>63</v>
      </c>
      <c r="D24" s="94"/>
      <c r="E24" s="84" t="n">
        <v>245</v>
      </c>
      <c r="F24" s="39"/>
      <c r="G24" s="39"/>
      <c r="H24" s="39" t="n">
        <f aca="false">H23</f>
        <v>80</v>
      </c>
      <c r="I24" s="55" t="n">
        <v>0.5</v>
      </c>
      <c r="J24" s="95" t="n">
        <f aca="false">IF(I24&lt;&gt;"",J23+I24/24,"")</f>
        <v>45499.8125</v>
      </c>
      <c r="K24" s="46" t="n">
        <v>80</v>
      </c>
      <c r="L24" s="46" t="n">
        <v>0.25</v>
      </c>
      <c r="M24" s="46"/>
      <c r="N24" s="89" t="n">
        <f aca="false">IF(L24="","",L24-I24)</f>
        <v>-0.25</v>
      </c>
      <c r="O24" s="95" t="n">
        <f aca="false">IF(L24&lt;&gt;"",O23+L24/24,O23+I24/24)</f>
        <v>45499.7291666667</v>
      </c>
      <c r="P24" s="96"/>
      <c r="Q24" s="97" t="n">
        <v>80</v>
      </c>
      <c r="R24" s="98" t="n">
        <v>0.5</v>
      </c>
      <c r="S24" s="99"/>
      <c r="T24" s="1"/>
      <c r="U24" s="1"/>
      <c r="V24" s="74"/>
      <c r="W24" s="74"/>
      <c r="AA24" s="1"/>
      <c r="AB24" s="1"/>
      <c r="AC24" s="1"/>
      <c r="AD24" s="1"/>
      <c r="AE24" s="1"/>
      <c r="AF24" s="1"/>
      <c r="AG24" s="1"/>
      <c r="AH24" s="1"/>
    </row>
    <row r="25" customFormat="false" ht="13.5" hidden="false" customHeight="true" outlineLevel="0" collapsed="false">
      <c r="A25" s="81" t="n">
        <v>6</v>
      </c>
      <c r="B25" s="93" t="s">
        <v>64</v>
      </c>
      <c r="C25" s="94" t="s">
        <v>65</v>
      </c>
      <c r="D25" s="94"/>
      <c r="E25" s="84" t="n">
        <v>245</v>
      </c>
      <c r="F25" s="39" t="n">
        <f aca="false">F20</f>
        <v>0</v>
      </c>
      <c r="G25" s="39" t="n">
        <v>80</v>
      </c>
      <c r="H25" s="39" t="n">
        <f aca="false">H24</f>
        <v>80</v>
      </c>
      <c r="I25" s="55" t="n">
        <v>2</v>
      </c>
      <c r="J25" s="95" t="n">
        <f aca="false">IF(I25&lt;&gt;"",J24+I25/24,"")</f>
        <v>45499.8958333333</v>
      </c>
      <c r="K25" s="46" t="n">
        <v>80</v>
      </c>
      <c r="L25" s="46" t="n">
        <v>1.25</v>
      </c>
      <c r="M25" s="46"/>
      <c r="N25" s="89" t="n">
        <f aca="false">IF(L25="","",L25-I25)</f>
        <v>-0.75</v>
      </c>
      <c r="O25" s="95" t="n">
        <f aca="false">IF(L25&lt;&gt;"",O24+L25/24,O24+I25/24)</f>
        <v>45499.78125</v>
      </c>
      <c r="P25" s="100"/>
      <c r="Q25" s="97" t="n">
        <v>80</v>
      </c>
      <c r="R25" s="98" t="n">
        <v>2</v>
      </c>
      <c r="S25" s="99"/>
      <c r="T25" s="1"/>
      <c r="U25" s="1"/>
      <c r="V25" s="74"/>
      <c r="W25" s="74"/>
      <c r="AA25" s="1"/>
      <c r="AB25" s="1"/>
      <c r="AC25" s="1"/>
      <c r="AD25" s="1"/>
      <c r="AE25" s="1"/>
      <c r="AF25" s="1"/>
      <c r="AG25" s="1"/>
      <c r="AH25" s="1"/>
    </row>
    <row r="26" customFormat="false" ht="13.5" hidden="false" customHeight="true" outlineLevel="0" collapsed="false">
      <c r="A26" s="26" t="n">
        <v>7</v>
      </c>
      <c r="B26" s="93" t="s">
        <v>66</v>
      </c>
      <c r="C26" s="94" t="s">
        <v>67</v>
      </c>
      <c r="D26" s="94"/>
      <c r="E26" s="84" t="n">
        <v>245</v>
      </c>
      <c r="F26" s="39"/>
      <c r="G26" s="39"/>
      <c r="H26" s="39" t="n">
        <f aca="false">H25</f>
        <v>80</v>
      </c>
      <c r="I26" s="55" t="n">
        <v>0.5</v>
      </c>
      <c r="J26" s="95" t="n">
        <f aca="false">IF(I26&lt;&gt;"",J25+I26/24,"")</f>
        <v>45499.9166666667</v>
      </c>
      <c r="K26" s="46" t="n">
        <v>80</v>
      </c>
      <c r="L26" s="46" t="n">
        <v>0.25</v>
      </c>
      <c r="M26" s="46"/>
      <c r="N26" s="89" t="n">
        <f aca="false">IF(L26="","",L26-I26)</f>
        <v>-0.25</v>
      </c>
      <c r="O26" s="95" t="n">
        <f aca="false">IF(L26&lt;&gt;"",O25+L26/24,O25+I26/24)</f>
        <v>45499.7916666667</v>
      </c>
      <c r="P26" s="96"/>
      <c r="Q26" s="97" t="n">
        <v>80</v>
      </c>
      <c r="R26" s="98" t="n">
        <v>0.5</v>
      </c>
      <c r="S26" s="99"/>
      <c r="T26" s="1"/>
      <c r="U26" s="1"/>
      <c r="V26" s="74"/>
      <c r="W26" s="74"/>
      <c r="AA26" s="1"/>
      <c r="AB26" s="1"/>
      <c r="AC26" s="1"/>
      <c r="AD26" s="1"/>
      <c r="AE26" s="1"/>
      <c r="AF26" s="1"/>
      <c r="AG26" s="1"/>
      <c r="AH26" s="1"/>
    </row>
    <row r="27" customFormat="false" ht="13.5" hidden="false" customHeight="true" outlineLevel="0" collapsed="false">
      <c r="A27" s="81" t="n">
        <v>8</v>
      </c>
      <c r="B27" s="93" t="s">
        <v>64</v>
      </c>
      <c r="C27" s="94" t="s">
        <v>68</v>
      </c>
      <c r="D27" s="94"/>
      <c r="E27" s="84" t="n">
        <v>245</v>
      </c>
      <c r="F27" s="39"/>
      <c r="G27" s="39"/>
      <c r="H27" s="39" t="n">
        <f aca="false">H26</f>
        <v>80</v>
      </c>
      <c r="I27" s="55" t="n">
        <v>1.5</v>
      </c>
      <c r="J27" s="95" t="n">
        <f aca="false">IF(I27&lt;&gt;"",J26+I27/24,"")</f>
        <v>45499.9791666667</v>
      </c>
      <c r="K27" s="46" t="n">
        <v>80</v>
      </c>
      <c r="L27" s="46" t="n">
        <v>1</v>
      </c>
      <c r="M27" s="46"/>
      <c r="N27" s="89" t="n">
        <f aca="false">IF(L27="","",L27-I27)</f>
        <v>-0.5</v>
      </c>
      <c r="O27" s="95" t="n">
        <f aca="false">IF(L27&lt;&gt;"",O26+L27/24,O26+I27/24)</f>
        <v>45499.8333333333</v>
      </c>
      <c r="P27" s="96"/>
      <c r="Q27" s="97" t="n">
        <v>80</v>
      </c>
      <c r="R27" s="98" t="n">
        <v>1.5</v>
      </c>
      <c r="S27" s="99"/>
      <c r="T27" s="1"/>
      <c r="U27" s="1"/>
      <c r="V27" s="74"/>
      <c r="W27" s="74"/>
      <c r="AA27" s="1"/>
      <c r="AB27" s="1"/>
      <c r="AC27" s="1"/>
      <c r="AD27" s="1"/>
      <c r="AE27" s="1"/>
      <c r="AF27" s="1"/>
      <c r="AG27" s="1"/>
      <c r="AH27" s="1"/>
    </row>
    <row r="28" customFormat="false" ht="32.25" hidden="false" customHeight="true" outlineLevel="0" collapsed="false">
      <c r="A28" s="26" t="n">
        <v>9</v>
      </c>
      <c r="B28" s="101" t="s">
        <v>64</v>
      </c>
      <c r="C28" s="101" t="s">
        <v>69</v>
      </c>
      <c r="D28" s="101"/>
      <c r="E28" s="84" t="n">
        <v>245</v>
      </c>
      <c r="F28" s="39"/>
      <c r="G28" s="39"/>
      <c r="H28" s="39" t="n">
        <f aca="false">H27</f>
        <v>80</v>
      </c>
      <c r="I28" s="102" t="n">
        <v>8</v>
      </c>
      <c r="J28" s="95" t="n">
        <f aca="false">IF(I28&lt;&gt;"",J27+I28/24,"")</f>
        <v>45500.3125</v>
      </c>
      <c r="K28" s="46" t="n">
        <v>80</v>
      </c>
      <c r="L28" s="46" t="n">
        <v>5</v>
      </c>
      <c r="M28" s="46"/>
      <c r="N28" s="89" t="n">
        <f aca="false">IF(L28="","",L28-I28)</f>
        <v>-3</v>
      </c>
      <c r="O28" s="95" t="n">
        <f aca="false">IF(L28&lt;&gt;"",O27+L28/24,O27+I28/24)</f>
        <v>45500.0416666667</v>
      </c>
      <c r="P28" s="96"/>
      <c r="Q28" s="97" t="n">
        <v>80</v>
      </c>
      <c r="R28" s="98" t="n">
        <v>8</v>
      </c>
      <c r="S28" s="99"/>
      <c r="T28" s="1"/>
      <c r="U28" s="1"/>
      <c r="V28" s="74"/>
      <c r="W28" s="74"/>
      <c r="Z28" s="2" t="s">
        <v>70</v>
      </c>
      <c r="AA28" s="1"/>
      <c r="AB28" s="1"/>
      <c r="AC28" s="1"/>
      <c r="AD28" s="1"/>
      <c r="AE28" s="1"/>
      <c r="AF28" s="1"/>
      <c r="AG28" s="1"/>
      <c r="AH28" s="1"/>
    </row>
    <row r="29" customFormat="false" ht="28.5" hidden="false" customHeight="true" outlineLevel="0" collapsed="false">
      <c r="A29" s="81" t="n">
        <v>10</v>
      </c>
      <c r="B29" s="101" t="s">
        <v>71</v>
      </c>
      <c r="C29" s="101" t="s">
        <v>72</v>
      </c>
      <c r="D29" s="101"/>
      <c r="E29" s="31" t="n">
        <v>245</v>
      </c>
      <c r="F29" s="39"/>
      <c r="G29" s="39"/>
      <c r="H29" s="39" t="n">
        <f aca="false">H28</f>
        <v>80</v>
      </c>
      <c r="I29" s="55" t="n">
        <v>7.5</v>
      </c>
      <c r="J29" s="95" t="n">
        <f aca="false">IF(I29&lt;&gt;"",J28+I29/24,"")</f>
        <v>45500.625</v>
      </c>
      <c r="K29" s="46" t="n">
        <v>80</v>
      </c>
      <c r="L29" s="46" t="n">
        <v>2</v>
      </c>
      <c r="M29" s="46"/>
      <c r="N29" s="89" t="n">
        <f aca="false">IF(L29="","",L29-I29)</f>
        <v>-5.5</v>
      </c>
      <c r="O29" s="95" t="n">
        <f aca="false">IF(L29&lt;&gt;"",O28+L29/24,O28+I29/24)</f>
        <v>45500.125</v>
      </c>
      <c r="P29" s="96"/>
      <c r="Q29" s="97" t="n">
        <v>80</v>
      </c>
      <c r="R29" s="98" t="n">
        <v>7.5</v>
      </c>
      <c r="S29" s="99"/>
      <c r="T29" s="1"/>
      <c r="U29" s="1"/>
      <c r="V29" s="74"/>
      <c r="W29" s="74"/>
      <c r="AA29" s="1"/>
      <c r="AB29" s="1"/>
      <c r="AC29" s="1"/>
      <c r="AD29" s="1"/>
      <c r="AE29" s="1"/>
      <c r="AF29" s="1"/>
      <c r="AG29" s="1"/>
      <c r="AH29" s="1"/>
    </row>
    <row r="30" customFormat="false" ht="18.75" hidden="false" customHeight="true" outlineLevel="0" collapsed="false">
      <c r="A30" s="26" t="n">
        <v>11</v>
      </c>
      <c r="B30" s="101" t="s">
        <v>55</v>
      </c>
      <c r="C30" s="101" t="s">
        <v>73</v>
      </c>
      <c r="D30" s="101"/>
      <c r="E30" s="31" t="n">
        <v>178</v>
      </c>
      <c r="F30" s="39"/>
      <c r="G30" s="39"/>
      <c r="H30" s="39" t="n">
        <f aca="false">H29</f>
        <v>80</v>
      </c>
      <c r="I30" s="55" t="n">
        <v>3</v>
      </c>
      <c r="J30" s="95" t="n">
        <f aca="false">IF(I30&lt;&gt;"",J29+I30/24,"")</f>
        <v>45500.75</v>
      </c>
      <c r="K30" s="46" t="n">
        <v>80</v>
      </c>
      <c r="L30" s="46" t="n">
        <v>2</v>
      </c>
      <c r="M30" s="46"/>
      <c r="N30" s="89" t="n">
        <f aca="false">IF(L30="","",L30-I30)</f>
        <v>-1</v>
      </c>
      <c r="O30" s="95" t="n">
        <f aca="false">IF(L30&lt;&gt;"",O29+L30/24,O29+I30/24)</f>
        <v>45500.2083333333</v>
      </c>
      <c r="P30" s="96"/>
      <c r="Q30" s="97" t="n">
        <v>80</v>
      </c>
      <c r="R30" s="98" t="n">
        <v>3</v>
      </c>
      <c r="S30" s="99"/>
      <c r="T30" s="1"/>
      <c r="U30" s="1"/>
      <c r="V30" s="74"/>
      <c r="W30" s="74"/>
      <c r="AA30" s="1"/>
      <c r="AB30" s="1"/>
      <c r="AC30" s="1"/>
      <c r="AD30" s="1"/>
      <c r="AE30" s="1"/>
      <c r="AF30" s="1"/>
      <c r="AG30" s="1"/>
      <c r="AH30" s="1"/>
    </row>
    <row r="31" customFormat="false" ht="17.25" hidden="false" customHeight="true" outlineLevel="0" collapsed="false">
      <c r="A31" s="81" t="n">
        <v>12</v>
      </c>
      <c r="B31" s="101" t="s">
        <v>74</v>
      </c>
      <c r="C31" s="101" t="s">
        <v>75</v>
      </c>
      <c r="D31" s="101"/>
      <c r="E31" s="31" t="n">
        <v>178</v>
      </c>
      <c r="F31" s="39" t="n">
        <v>0</v>
      </c>
      <c r="G31" s="39" t="n">
        <f aca="false">G25</f>
        <v>80</v>
      </c>
      <c r="H31" s="31" t="n">
        <f aca="false">H29</f>
        <v>80</v>
      </c>
      <c r="I31" s="55" t="n">
        <v>2</v>
      </c>
      <c r="J31" s="95" t="n">
        <f aca="false">IF(I31&lt;&gt;"",J30+I31/24,"")</f>
        <v>45500.8333333334</v>
      </c>
      <c r="K31" s="46" t="n">
        <v>80</v>
      </c>
      <c r="L31" s="46" t="n">
        <v>0.75</v>
      </c>
      <c r="M31" s="46"/>
      <c r="N31" s="89" t="n">
        <f aca="false">IF(L31="","",L31-I31)</f>
        <v>-1.25</v>
      </c>
      <c r="O31" s="95" t="n">
        <f aca="false">IF(L31&lt;&gt;"",O30+L31/24,O30+I31/24)</f>
        <v>45500.2395833333</v>
      </c>
      <c r="P31" s="96"/>
      <c r="Q31" s="97" t="n">
        <v>80</v>
      </c>
      <c r="R31" s="98" t="n">
        <v>2</v>
      </c>
      <c r="S31" s="99"/>
      <c r="T31" s="1"/>
      <c r="U31" s="1"/>
      <c r="V31" s="74"/>
      <c r="W31" s="74"/>
      <c r="AA31" s="1"/>
      <c r="AB31" s="1"/>
      <c r="AC31" s="1"/>
      <c r="AD31" s="1"/>
      <c r="AE31" s="1"/>
      <c r="AF31" s="31" t="s">
        <v>76</v>
      </c>
      <c r="AG31" s="1"/>
      <c r="AH31" s="1"/>
    </row>
    <row r="32" customFormat="false" ht="21" hidden="false" customHeight="true" outlineLevel="0" collapsed="false">
      <c r="A32" s="26" t="n">
        <v>13</v>
      </c>
      <c r="B32" s="103" t="s">
        <v>57</v>
      </c>
      <c r="C32" s="103" t="s">
        <v>77</v>
      </c>
      <c r="D32" s="103"/>
      <c r="E32" s="98" t="n">
        <v>178</v>
      </c>
      <c r="F32" s="104" t="n">
        <f aca="false">G31</f>
        <v>80</v>
      </c>
      <c r="G32" s="104" t="n">
        <f aca="false">E5+2</f>
        <v>82</v>
      </c>
      <c r="H32" s="104" t="n">
        <f aca="false">G32</f>
        <v>82</v>
      </c>
      <c r="I32" s="98" t="n">
        <v>2</v>
      </c>
      <c r="J32" s="95" t="n">
        <f aca="false">IF(I32&lt;&gt;"",J31+I32/24,"")</f>
        <v>45500.9166666667</v>
      </c>
      <c r="K32" s="46" t="n">
        <v>80</v>
      </c>
      <c r="L32" s="46" t="n">
        <v>0.25</v>
      </c>
      <c r="M32" s="46"/>
      <c r="N32" s="89" t="n">
        <f aca="false">IF(L32="","",L32-I32)</f>
        <v>-1.75</v>
      </c>
      <c r="O32" s="95" t="n">
        <f aca="false">IF(L32&lt;&gt;"",O31+L32/24,O31+I32/24)</f>
        <v>45500.25</v>
      </c>
      <c r="P32" s="96"/>
      <c r="Q32" s="97" t="n">
        <v>82</v>
      </c>
      <c r="R32" s="98" t="n">
        <v>2</v>
      </c>
      <c r="S32" s="99"/>
      <c r="T32" s="1"/>
      <c r="U32" s="1" t="s">
        <v>78</v>
      </c>
      <c r="V32" s="74" t="s">
        <v>79</v>
      </c>
      <c r="W32" s="74"/>
      <c r="X32" s="105" t="s">
        <v>80</v>
      </c>
      <c r="Z32" s="2" t="s">
        <v>81</v>
      </c>
      <c r="AA32" s="1" t="s">
        <v>82</v>
      </c>
      <c r="AB32" s="1" t="s">
        <v>83</v>
      </c>
      <c r="AC32" s="1" t="s">
        <v>84</v>
      </c>
      <c r="AD32" s="1" t="s">
        <v>85</v>
      </c>
      <c r="AE32" s="1" t="s">
        <v>86</v>
      </c>
      <c r="AF32" s="1" t="n">
        <v>70</v>
      </c>
      <c r="AG32" s="1"/>
      <c r="AH32" s="1" t="s">
        <v>87</v>
      </c>
    </row>
    <row r="33" s="14" customFormat="true" ht="36" hidden="false" customHeight="true" outlineLevel="0" collapsed="false">
      <c r="A33" s="81" t="n">
        <v>14</v>
      </c>
      <c r="B33" s="103" t="s">
        <v>57</v>
      </c>
      <c r="C33" s="103" t="s">
        <v>88</v>
      </c>
      <c r="D33" s="103"/>
      <c r="E33" s="98" t="n">
        <v>178</v>
      </c>
      <c r="F33" s="104" t="n">
        <f aca="false">H32</f>
        <v>82</v>
      </c>
      <c r="G33" s="104" t="n">
        <v>1500</v>
      </c>
      <c r="H33" s="104" t="n">
        <f aca="false">G33</f>
        <v>1500</v>
      </c>
      <c r="I33" s="104" t="n">
        <v>32</v>
      </c>
      <c r="J33" s="95" t="n">
        <f aca="false">IF(I33&lt;&gt;"",J32+I33/24,"")</f>
        <v>45502.25</v>
      </c>
      <c r="K33" s="46" t="n">
        <v>1408</v>
      </c>
      <c r="L33" s="46" t="n">
        <v>24.75</v>
      </c>
      <c r="M33" s="46"/>
      <c r="N33" s="89" t="n">
        <f aca="false">IF(L33="","",L33-I33)</f>
        <v>-7.25</v>
      </c>
      <c r="O33" s="95" t="n">
        <f aca="false">IF(L33&lt;&gt;"",O32+L33/24,O32+I33/24)</f>
        <v>45501.28125</v>
      </c>
      <c r="P33" s="106"/>
      <c r="Q33" s="107" t="n">
        <f aca="false">H33</f>
        <v>1500</v>
      </c>
      <c r="R33" s="104" t="n">
        <v>32</v>
      </c>
      <c r="S33" s="99"/>
      <c r="T33" s="108"/>
      <c r="U33" s="109" t="n">
        <v>32</v>
      </c>
      <c r="V33" s="110" t="n">
        <f aca="false">(G33-F33)/I33</f>
        <v>44.3125</v>
      </c>
      <c r="W33" s="110"/>
      <c r="X33" s="111" t="n">
        <f aca="false">(K33-K32)/(L33-M33)</f>
        <v>53.6565656565657</v>
      </c>
      <c r="Y33" s="112"/>
      <c r="Z33" s="112" t="n">
        <f aca="false">(G33-F33)/25.5</f>
        <v>55.6078431372549</v>
      </c>
      <c r="AA33" s="113" t="n">
        <f aca="false">Z33*0.15*$E$15</f>
        <v>0</v>
      </c>
      <c r="AB33" s="109" t="n">
        <f aca="false">Z33*5/60</f>
        <v>4.63398692810458</v>
      </c>
      <c r="AC33" s="109" t="n">
        <f aca="false">(G33-F33)*0.33/8*5/60</f>
        <v>4.874375</v>
      </c>
      <c r="AD33" s="109"/>
      <c r="AE33" s="109" t="n">
        <f aca="false">(300^2-127^2)*3.14/4/10^6*200/70/60*1000</f>
        <v>2.76136833333333</v>
      </c>
      <c r="AF33" s="109" t="n">
        <f aca="false">(G33-F33)/AF32</f>
        <v>20.2571428571429</v>
      </c>
      <c r="AG33" s="108"/>
      <c r="AH33" s="109" t="n">
        <f aca="false">SUM(AA33:AF33)</f>
        <v>32.5268731185808</v>
      </c>
    </row>
    <row r="34" s="14" customFormat="true" ht="13.5" hidden="false" customHeight="true" outlineLevel="0" collapsed="false">
      <c r="A34" s="26" t="n">
        <v>15</v>
      </c>
      <c r="B34" s="93" t="s">
        <v>66</v>
      </c>
      <c r="C34" s="93" t="s">
        <v>89</v>
      </c>
      <c r="D34" s="93"/>
      <c r="E34" s="31" t="n">
        <v>178</v>
      </c>
      <c r="F34" s="114"/>
      <c r="G34" s="114"/>
      <c r="H34" s="114" t="n">
        <f aca="false">H33</f>
        <v>1500</v>
      </c>
      <c r="I34" s="55" t="n">
        <v>2.5</v>
      </c>
      <c r="J34" s="95" t="n">
        <f aca="false">IF(I34&lt;&gt;"",J33+I34/24,"")</f>
        <v>45502.3541666667</v>
      </c>
      <c r="K34" s="46" t="n">
        <v>1408</v>
      </c>
      <c r="L34" s="46" t="n">
        <v>0.5</v>
      </c>
      <c r="M34" s="46"/>
      <c r="N34" s="89" t="n">
        <f aca="false">IF(L34="","",L34-I34)</f>
        <v>-2</v>
      </c>
      <c r="O34" s="95" t="n">
        <f aca="false">IF(L34&lt;&gt;"",O33+L34/24,O33+I34/24)</f>
        <v>45501.3020833333</v>
      </c>
      <c r="P34" s="96"/>
      <c r="Q34" s="115" t="n">
        <f aca="false">Q33</f>
        <v>1500</v>
      </c>
      <c r="R34" s="98" t="n">
        <v>2.5</v>
      </c>
      <c r="S34" s="99"/>
      <c r="T34" s="108"/>
      <c r="U34" s="109"/>
      <c r="V34" s="110"/>
      <c r="W34" s="110"/>
      <c r="X34" s="111"/>
      <c r="Y34" s="112"/>
      <c r="Z34" s="93" t="s">
        <v>70</v>
      </c>
      <c r="AA34" s="108"/>
      <c r="AB34" s="108"/>
      <c r="AC34" s="108"/>
      <c r="AD34" s="108"/>
      <c r="AE34" s="108"/>
      <c r="AF34" s="108"/>
      <c r="AG34" s="108"/>
      <c r="AH34" s="108"/>
    </row>
    <row r="35" s="14" customFormat="true" ht="13.5" hidden="false" customHeight="true" outlineLevel="0" collapsed="false">
      <c r="A35" s="81" t="n">
        <v>16</v>
      </c>
      <c r="B35" s="93" t="s">
        <v>59</v>
      </c>
      <c r="C35" s="93" t="s">
        <v>90</v>
      </c>
      <c r="D35" s="93"/>
      <c r="E35" s="31" t="n">
        <v>178</v>
      </c>
      <c r="F35" s="114" t="n">
        <f aca="false">G33</f>
        <v>1500</v>
      </c>
      <c r="G35" s="114"/>
      <c r="H35" s="114" t="n">
        <f aca="false">H34</f>
        <v>1500</v>
      </c>
      <c r="I35" s="55" t="n">
        <v>7</v>
      </c>
      <c r="J35" s="95" t="n">
        <f aca="false">IF(I35&lt;&gt;"",J34+I35/24,"")</f>
        <v>45502.6458333334</v>
      </c>
      <c r="K35" s="46" t="n">
        <v>1408</v>
      </c>
      <c r="L35" s="46" t="n">
        <v>0</v>
      </c>
      <c r="M35" s="116"/>
      <c r="N35" s="89" t="n">
        <f aca="false">IF(L35="","",L35-I35)</f>
        <v>-7</v>
      </c>
      <c r="O35" s="95" t="n">
        <f aca="false">IF(L35&lt;&gt;"",O34+L35/24,O34+I35/24)</f>
        <v>45501.3020833333</v>
      </c>
      <c r="P35" s="117"/>
      <c r="Q35" s="115" t="n">
        <f aca="false">Q34</f>
        <v>1500</v>
      </c>
      <c r="R35" s="98" t="n">
        <v>7</v>
      </c>
      <c r="S35" s="99"/>
      <c r="T35" s="108"/>
      <c r="U35" s="109" t="n">
        <v>200</v>
      </c>
      <c r="V35" s="110" t="n">
        <f aca="false">(G35-F35)/I35</f>
        <v>-214.285714285714</v>
      </c>
      <c r="W35" s="110"/>
      <c r="X35" s="111" t="e">
        <f aca="false">(K35-K32)/(L35-M35)</f>
        <v>#DIV/0!</v>
      </c>
      <c r="Y35" s="112"/>
      <c r="Z35" s="93" t="n">
        <f aca="false">ROUNDDOWN(0.089*$E$15*(F35-G35)/25.5,2)</f>
        <v>0</v>
      </c>
      <c r="AA35" s="108"/>
      <c r="AB35" s="108"/>
      <c r="AC35" s="108"/>
      <c r="AD35" s="108"/>
      <c r="AE35" s="108"/>
      <c r="AF35" s="108"/>
      <c r="AG35" s="108"/>
      <c r="AH35" s="108"/>
    </row>
    <row r="36" customFormat="false" ht="13.5" hidden="false" customHeight="true" outlineLevel="0" collapsed="false">
      <c r="A36" s="26" t="n">
        <v>17</v>
      </c>
      <c r="B36" s="101" t="s">
        <v>59</v>
      </c>
      <c r="C36" s="101" t="s">
        <v>91</v>
      </c>
      <c r="D36" s="101"/>
      <c r="E36" s="31" t="n">
        <v>178</v>
      </c>
      <c r="F36" s="39" t="n">
        <v>80</v>
      </c>
      <c r="G36" s="39" t="n">
        <f aca="false">G33</f>
        <v>1500</v>
      </c>
      <c r="H36" s="39" t="n">
        <f aca="false">H35</f>
        <v>1500</v>
      </c>
      <c r="I36" s="55" t="n">
        <v>6</v>
      </c>
      <c r="J36" s="95" t="n">
        <f aca="false">IF(I36&lt;&gt;"",J35+I36/24,"")</f>
        <v>45502.8958333334</v>
      </c>
      <c r="K36" s="46" t="n">
        <v>1408</v>
      </c>
      <c r="L36" s="46" t="n">
        <v>0</v>
      </c>
      <c r="M36" s="46"/>
      <c r="N36" s="89" t="n">
        <f aca="false">IF(L36="","",L36-I36)</f>
        <v>-6</v>
      </c>
      <c r="O36" s="95" t="n">
        <f aca="false">IF(L36&lt;&gt;"",O35+L36/24,O35+I36/24)</f>
        <v>45501.3020833333</v>
      </c>
      <c r="P36" s="106"/>
      <c r="Q36" s="115" t="n">
        <f aca="false">Q35</f>
        <v>1500</v>
      </c>
      <c r="R36" s="98" t="n">
        <v>6</v>
      </c>
      <c r="S36" s="99"/>
      <c r="T36" s="1"/>
      <c r="U36" s="118" t="n">
        <v>250</v>
      </c>
      <c r="V36" s="119" t="n">
        <f aca="false">(G36-F36)/I36</f>
        <v>236.666666666667</v>
      </c>
      <c r="W36" s="119"/>
      <c r="X36" s="120" t="e">
        <f aca="false">(K36-K32)/(L36-M36)</f>
        <v>#DIV/0!</v>
      </c>
      <c r="Y36" s="121"/>
      <c r="Z36" s="101" t="n">
        <f aca="false">ROUNDDOWN(0.085*$E$15*(G36-F36)/25.5,2)</f>
        <v>0</v>
      </c>
      <c r="AA36" s="1"/>
      <c r="AB36" s="1"/>
      <c r="AC36" s="1"/>
      <c r="AD36" s="1"/>
      <c r="AE36" s="1"/>
      <c r="AF36" s="1"/>
      <c r="AG36" s="1"/>
      <c r="AH36" s="1"/>
    </row>
    <row r="37" customFormat="false" ht="17.25" hidden="false" customHeight="true" outlineLevel="0" collapsed="false">
      <c r="A37" s="81" t="n">
        <v>18</v>
      </c>
      <c r="B37" s="101" t="s">
        <v>66</v>
      </c>
      <c r="C37" s="101" t="s">
        <v>92</v>
      </c>
      <c r="D37" s="101"/>
      <c r="E37" s="31" t="n">
        <v>178</v>
      </c>
      <c r="F37" s="39"/>
      <c r="G37" s="39"/>
      <c r="H37" s="39" t="n">
        <f aca="false">H36</f>
        <v>1500</v>
      </c>
      <c r="I37" s="122" t="n">
        <v>2</v>
      </c>
      <c r="J37" s="95" t="n">
        <f aca="false">IF(I37&lt;&gt;"",J36+I37/24,"")</f>
        <v>45502.9791666667</v>
      </c>
      <c r="K37" s="46" t="n">
        <v>1408</v>
      </c>
      <c r="L37" s="46" t="n">
        <v>0</v>
      </c>
      <c r="M37" s="46"/>
      <c r="N37" s="89" t="n">
        <f aca="false">IF(L37="","",L37-I37)</f>
        <v>-2</v>
      </c>
      <c r="O37" s="95" t="n">
        <f aca="false">IF(L37&lt;&gt;"",O36+L37/24,O36+I37/24)</f>
        <v>45501.3020833333</v>
      </c>
      <c r="P37" s="106"/>
      <c r="Q37" s="115" t="n">
        <f aca="false">Q36</f>
        <v>1500</v>
      </c>
      <c r="R37" s="104" t="n">
        <v>2</v>
      </c>
      <c r="S37" s="99"/>
      <c r="T37" s="1"/>
      <c r="U37" s="118"/>
      <c r="V37" s="119"/>
      <c r="W37" s="119"/>
      <c r="X37" s="120"/>
      <c r="Y37" s="121"/>
      <c r="AA37" s="1"/>
      <c r="AB37" s="1"/>
      <c r="AC37" s="1"/>
      <c r="AD37" s="1"/>
      <c r="AE37" s="1"/>
      <c r="AF37" s="1"/>
      <c r="AG37" s="1"/>
      <c r="AH37" s="1"/>
    </row>
    <row r="38" customFormat="false" ht="37.5" hidden="false" customHeight="true" outlineLevel="0" collapsed="false">
      <c r="A38" s="26" t="n">
        <v>19</v>
      </c>
      <c r="B38" s="103" t="s">
        <v>57</v>
      </c>
      <c r="C38" s="103" t="s">
        <v>93</v>
      </c>
      <c r="D38" s="103"/>
      <c r="E38" s="98" t="n">
        <v>178</v>
      </c>
      <c r="F38" s="104" t="n">
        <f aca="false">G33</f>
        <v>1500</v>
      </c>
      <c r="G38" s="104" t="n">
        <v>2100</v>
      </c>
      <c r="H38" s="104" t="n">
        <f aca="false">G38</f>
        <v>2100</v>
      </c>
      <c r="I38" s="98" t="n">
        <v>34</v>
      </c>
      <c r="J38" s="95" t="n">
        <f aca="false">IF(I38&lt;&gt;"",J37+I38/24,"")</f>
        <v>45504.3958333334</v>
      </c>
      <c r="K38" s="46" t="n">
        <v>2024</v>
      </c>
      <c r="L38" s="46" t="n">
        <v>23.75</v>
      </c>
      <c r="M38" s="46"/>
      <c r="N38" s="89" t="n">
        <f aca="false">IF(L38="","",L38-I38)</f>
        <v>-10.25</v>
      </c>
      <c r="O38" s="95" t="n">
        <f aca="false">IF(L38&lt;&gt;"",O37+L38/24,O37+I38/24)</f>
        <v>45502.2916666667</v>
      </c>
      <c r="P38" s="106"/>
      <c r="Q38" s="115" t="n">
        <f aca="false">H38</f>
        <v>2100</v>
      </c>
      <c r="R38" s="98" t="n">
        <v>34</v>
      </c>
      <c r="S38" s="99"/>
      <c r="T38" s="1"/>
      <c r="U38" s="118" t="n">
        <v>270</v>
      </c>
      <c r="V38" s="119" t="n">
        <f aca="false">(G38-F38)/I38</f>
        <v>17.6470588235294</v>
      </c>
      <c r="W38" s="119"/>
      <c r="X38" s="120" t="n">
        <f aca="false">K38/(L38-M38)</f>
        <v>85.2210526315789</v>
      </c>
      <c r="Y38" s="121"/>
      <c r="AA38" s="1"/>
      <c r="AB38" s="1"/>
      <c r="AC38" s="1"/>
      <c r="AD38" s="1"/>
      <c r="AE38" s="1"/>
      <c r="AF38" s="1"/>
      <c r="AG38" s="1"/>
      <c r="AH38" s="1"/>
    </row>
    <row r="39" customFormat="false" ht="19.5" hidden="false" customHeight="true" outlineLevel="0" collapsed="false">
      <c r="A39" s="81" t="n">
        <v>20</v>
      </c>
      <c r="B39" s="101" t="s">
        <v>66</v>
      </c>
      <c r="C39" s="101" t="s">
        <v>94</v>
      </c>
      <c r="D39" s="101"/>
      <c r="E39" s="31" t="n">
        <v>178</v>
      </c>
      <c r="F39" s="39"/>
      <c r="G39" s="39"/>
      <c r="H39" s="31" t="n">
        <v>2060</v>
      </c>
      <c r="I39" s="55" t="n">
        <v>2</v>
      </c>
      <c r="J39" s="95" t="n">
        <f aca="false">IF(I39&lt;&gt;"",J38+I39/24,"")</f>
        <v>45504.4791666667</v>
      </c>
      <c r="K39" s="46" t="n">
        <v>2024</v>
      </c>
      <c r="L39" s="46" t="n">
        <v>0.5</v>
      </c>
      <c r="M39" s="46"/>
      <c r="N39" s="89" t="n">
        <f aca="false">IF(L39="","",L39-I39)</f>
        <v>-1.5</v>
      </c>
      <c r="O39" s="95" t="n">
        <f aca="false">IF(L39&lt;&gt;"",O38+L39/24,O38+I39/24)</f>
        <v>45502.3125</v>
      </c>
      <c r="P39" s="106"/>
      <c r="Q39" s="97" t="n">
        <v>2060</v>
      </c>
      <c r="R39" s="98" t="n">
        <v>2</v>
      </c>
      <c r="S39" s="99"/>
      <c r="T39" s="1"/>
      <c r="U39" s="118"/>
      <c r="V39" s="119"/>
      <c r="W39" s="119"/>
      <c r="X39" s="120"/>
      <c r="Y39" s="121"/>
      <c r="AA39" s="1"/>
      <c r="AB39" s="1"/>
      <c r="AC39" s="1"/>
      <c r="AD39" s="1"/>
      <c r="AE39" s="1"/>
      <c r="AF39" s="1"/>
      <c r="AG39" s="1"/>
      <c r="AH39" s="1"/>
    </row>
    <row r="40" customFormat="false" ht="27" hidden="false" customHeight="true" outlineLevel="0" collapsed="false">
      <c r="A40" s="26" t="n">
        <v>21</v>
      </c>
      <c r="B40" s="103" t="s">
        <v>57</v>
      </c>
      <c r="C40" s="103" t="s">
        <v>95</v>
      </c>
      <c r="D40" s="103"/>
      <c r="E40" s="98" t="n">
        <v>178</v>
      </c>
      <c r="F40" s="104" t="n">
        <f aca="false">G38</f>
        <v>2100</v>
      </c>
      <c r="G40" s="104" t="n">
        <f aca="false">E6</f>
        <v>2543.15</v>
      </c>
      <c r="H40" s="104" t="n">
        <f aca="false">G40</f>
        <v>2543.15</v>
      </c>
      <c r="I40" s="98" t="n">
        <v>34</v>
      </c>
      <c r="J40" s="95" t="n">
        <f aca="false">IF(I40&lt;&gt;"",J39+I40/24,"")</f>
        <v>45505.8958333334</v>
      </c>
      <c r="K40" s="46" t="n">
        <v>2543</v>
      </c>
      <c r="L40" s="46" t="n">
        <v>27.75</v>
      </c>
      <c r="M40" s="46"/>
      <c r="N40" s="89" t="n">
        <f aca="false">IF(L40="","",L40-I40)</f>
        <v>-6.25</v>
      </c>
      <c r="O40" s="95" t="n">
        <f aca="false">IF(L40&lt;&gt;"",O39+L40/24,O39+I40/24)</f>
        <v>45503.46875</v>
      </c>
      <c r="P40" s="106"/>
      <c r="Q40" s="115" t="n">
        <f aca="false">H40</f>
        <v>2543.15</v>
      </c>
      <c r="R40" s="98" t="n">
        <v>34</v>
      </c>
      <c r="S40" s="99"/>
      <c r="T40" s="1"/>
      <c r="U40" s="118"/>
      <c r="V40" s="119"/>
      <c r="W40" s="119"/>
      <c r="X40" s="120"/>
      <c r="Y40" s="121"/>
      <c r="AA40" s="1"/>
      <c r="AB40" s="1"/>
      <c r="AC40" s="1"/>
      <c r="AD40" s="1"/>
      <c r="AE40" s="1"/>
      <c r="AF40" s="1"/>
      <c r="AG40" s="1"/>
      <c r="AH40" s="1"/>
    </row>
    <row r="41" customFormat="false" ht="13.5" hidden="false" customHeight="true" outlineLevel="0" collapsed="false">
      <c r="A41" s="81" t="n">
        <v>22</v>
      </c>
      <c r="B41" s="93" t="s">
        <v>66</v>
      </c>
      <c r="C41" s="93" t="s">
        <v>96</v>
      </c>
      <c r="D41" s="93"/>
      <c r="E41" s="55" t="n">
        <v>178</v>
      </c>
      <c r="F41" s="114"/>
      <c r="G41" s="114"/>
      <c r="H41" s="114" t="n">
        <f aca="false">H40</f>
        <v>2543.15</v>
      </c>
      <c r="I41" s="55" t="n">
        <v>3</v>
      </c>
      <c r="J41" s="95" t="n">
        <f aca="false">IF(I41&lt;&gt;"",J40+I41/24,"")</f>
        <v>45506.0208333334</v>
      </c>
      <c r="K41" s="46" t="n">
        <v>2543</v>
      </c>
      <c r="L41" s="46" t="n">
        <v>1.75</v>
      </c>
      <c r="M41" s="46"/>
      <c r="N41" s="89" t="n">
        <f aca="false">IF(L41="","",L41-I41)</f>
        <v>-1.25</v>
      </c>
      <c r="O41" s="95" t="n">
        <f aca="false">IF(L41&lt;&gt;"",O40+L41/24,O40+I41/24)</f>
        <v>45503.5416666667</v>
      </c>
      <c r="P41" s="106"/>
      <c r="Q41" s="115" t="n">
        <f aca="false">Q40</f>
        <v>2543.15</v>
      </c>
      <c r="R41" s="98" t="n">
        <v>3</v>
      </c>
      <c r="S41" s="99"/>
      <c r="T41" s="1"/>
      <c r="U41" s="118"/>
      <c r="V41" s="119"/>
      <c r="W41" s="119"/>
      <c r="X41" s="120"/>
      <c r="Y41" s="121"/>
      <c r="AA41" s="1"/>
      <c r="AB41" s="1"/>
      <c r="AC41" s="1"/>
      <c r="AD41" s="1"/>
      <c r="AE41" s="1"/>
      <c r="AF41" s="1"/>
      <c r="AG41" s="1"/>
      <c r="AH41" s="1"/>
    </row>
    <row r="42" customFormat="false" ht="13.5" hidden="false" customHeight="true" outlineLevel="0" collapsed="false">
      <c r="A42" s="26" t="n">
        <v>23</v>
      </c>
      <c r="B42" s="93" t="s">
        <v>74</v>
      </c>
      <c r="C42" s="93" t="s">
        <v>97</v>
      </c>
      <c r="D42" s="93"/>
      <c r="E42" s="55" t="n">
        <v>178</v>
      </c>
      <c r="F42" s="114" t="n">
        <f aca="false">G40</f>
        <v>2543.15</v>
      </c>
      <c r="G42" s="114" t="n">
        <v>80</v>
      </c>
      <c r="H42" s="114" t="n">
        <f aca="false">H41</f>
        <v>2543.15</v>
      </c>
      <c r="I42" s="55" t="n">
        <v>10</v>
      </c>
      <c r="J42" s="95" t="n">
        <f aca="false">IF(I42&lt;&gt;"",J41+I42/24,"")</f>
        <v>45506.4375</v>
      </c>
      <c r="K42" s="46" t="n">
        <v>2543</v>
      </c>
      <c r="L42" s="46" t="n">
        <v>4.25</v>
      </c>
      <c r="M42" s="46"/>
      <c r="N42" s="89" t="n">
        <f aca="false">IF(L42="","",L42-I42)</f>
        <v>-5.75</v>
      </c>
      <c r="O42" s="95" t="n">
        <f aca="false">IF(L42&lt;&gt;"",O41+L42/24,O41+I42/24)</f>
        <v>45503.71875</v>
      </c>
      <c r="P42" s="106"/>
      <c r="Q42" s="115" t="n">
        <f aca="false">Q41</f>
        <v>2543.15</v>
      </c>
      <c r="R42" s="98" t="n">
        <v>10</v>
      </c>
      <c r="S42" s="99"/>
      <c r="T42" s="1"/>
      <c r="U42" s="118"/>
      <c r="V42" s="119"/>
      <c r="W42" s="119"/>
      <c r="X42" s="120"/>
      <c r="Y42" s="121"/>
      <c r="AA42" s="1"/>
      <c r="AB42" s="1"/>
      <c r="AC42" s="1"/>
      <c r="AD42" s="1"/>
      <c r="AE42" s="1"/>
      <c r="AF42" s="1"/>
      <c r="AG42" s="1"/>
      <c r="AH42" s="1"/>
    </row>
    <row r="43" customFormat="false" ht="13.5" hidden="false" customHeight="true" outlineLevel="0" collapsed="false">
      <c r="A43" s="81" t="n">
        <v>24</v>
      </c>
      <c r="B43" s="93" t="s">
        <v>74</v>
      </c>
      <c r="C43" s="93" t="s">
        <v>98</v>
      </c>
      <c r="D43" s="93"/>
      <c r="E43" s="55" t="n">
        <v>178</v>
      </c>
      <c r="F43" s="114" t="n">
        <v>80</v>
      </c>
      <c r="G43" s="114" t="n">
        <f aca="false">F42</f>
        <v>2543.15</v>
      </c>
      <c r="H43" s="114" t="n">
        <f aca="false">H42</f>
        <v>2543.15</v>
      </c>
      <c r="I43" s="55" t="n">
        <v>9</v>
      </c>
      <c r="J43" s="95" t="n">
        <f aca="false">IF(I43&lt;&gt;"",J42+I43/24,"")</f>
        <v>45506.8125</v>
      </c>
      <c r="K43" s="46" t="n">
        <v>2543</v>
      </c>
      <c r="L43" s="46" t="n">
        <v>3.75</v>
      </c>
      <c r="M43" s="46"/>
      <c r="N43" s="89" t="n">
        <f aca="false">IF(L43="","",L43-I43)</f>
        <v>-5.25</v>
      </c>
      <c r="O43" s="95" t="n">
        <f aca="false">IF(L43&lt;&gt;"",O42+L43/24,O42+I43/24)</f>
        <v>45503.875</v>
      </c>
      <c r="P43" s="106"/>
      <c r="Q43" s="115" t="n">
        <f aca="false">Q42</f>
        <v>2543.15</v>
      </c>
      <c r="R43" s="98" t="n">
        <v>9</v>
      </c>
      <c r="S43" s="99"/>
      <c r="T43" s="1"/>
      <c r="U43" s="118"/>
      <c r="V43" s="119"/>
      <c r="W43" s="119"/>
      <c r="X43" s="120"/>
      <c r="Y43" s="121"/>
      <c r="AA43" s="1"/>
      <c r="AB43" s="1"/>
      <c r="AC43" s="1"/>
      <c r="AD43" s="1"/>
      <c r="AE43" s="1"/>
      <c r="AF43" s="1"/>
      <c r="AG43" s="1"/>
      <c r="AH43" s="1"/>
    </row>
    <row r="44" customFormat="false" ht="13.5" hidden="false" customHeight="true" outlineLevel="0" collapsed="false">
      <c r="A44" s="26" t="n">
        <v>25</v>
      </c>
      <c r="B44" s="101" t="s">
        <v>64</v>
      </c>
      <c r="C44" s="101" t="s">
        <v>99</v>
      </c>
      <c r="D44" s="101"/>
      <c r="E44" s="55" t="n">
        <v>178</v>
      </c>
      <c r="F44" s="39"/>
      <c r="G44" s="39"/>
      <c r="H44" s="114" t="n">
        <f aca="false">H43</f>
        <v>2543.15</v>
      </c>
      <c r="I44" s="55" t="n">
        <v>3</v>
      </c>
      <c r="J44" s="95" t="n">
        <f aca="false">IF(I44&lt;&gt;"",J43+I44/24,"")</f>
        <v>45506.9375</v>
      </c>
      <c r="K44" s="46" t="n">
        <v>2543</v>
      </c>
      <c r="L44" s="46" t="n">
        <v>3.5</v>
      </c>
      <c r="M44" s="46"/>
      <c r="N44" s="89" t="n">
        <f aca="false">IF(L44="","",L44-I44)</f>
        <v>0.5</v>
      </c>
      <c r="O44" s="95" t="n">
        <f aca="false">IF(L44&lt;&gt;"",O43+L44/24,O43+I44/24)</f>
        <v>45504.0208333333</v>
      </c>
      <c r="P44" s="106"/>
      <c r="Q44" s="115" t="n">
        <f aca="false">Q43</f>
        <v>2543.15</v>
      </c>
      <c r="R44" s="98" t="n">
        <v>3</v>
      </c>
      <c r="S44" s="99"/>
      <c r="T44" s="1"/>
      <c r="U44" s="118"/>
      <c r="V44" s="119"/>
      <c r="W44" s="119"/>
      <c r="X44" s="120"/>
      <c r="Y44" s="121"/>
      <c r="AA44" s="1"/>
      <c r="AB44" s="1"/>
      <c r="AC44" s="1"/>
      <c r="AD44" s="1"/>
      <c r="AE44" s="1"/>
      <c r="AF44" s="1"/>
      <c r="AG44" s="1"/>
      <c r="AH44" s="1"/>
    </row>
    <row r="45" customFormat="false" ht="13.5" hidden="false" customHeight="true" outlineLevel="0" collapsed="false">
      <c r="A45" s="81" t="n">
        <v>26</v>
      </c>
      <c r="B45" s="101" t="s">
        <v>64</v>
      </c>
      <c r="C45" s="101" t="s">
        <v>100</v>
      </c>
      <c r="D45" s="101"/>
      <c r="E45" s="55" t="n">
        <v>178</v>
      </c>
      <c r="F45" s="39"/>
      <c r="G45" s="39"/>
      <c r="H45" s="114" t="n">
        <f aca="false">H44</f>
        <v>2543.15</v>
      </c>
      <c r="I45" s="102" t="n">
        <v>9</v>
      </c>
      <c r="J45" s="95" t="n">
        <f aca="false">IF(I45&lt;&gt;"",J44+I45/24,"")</f>
        <v>45507.3125</v>
      </c>
      <c r="K45" s="46" t="n">
        <v>2543</v>
      </c>
      <c r="L45" s="46" t="n">
        <v>10.75</v>
      </c>
      <c r="M45" s="46"/>
      <c r="N45" s="89" t="n">
        <f aca="false">IF(L45="","",L45-I45)</f>
        <v>1.75</v>
      </c>
      <c r="O45" s="95" t="n">
        <f aca="false">IF(L45&lt;&gt;"",O44+L45/24,O44+I45/24)</f>
        <v>45504.46875</v>
      </c>
      <c r="P45" s="106"/>
      <c r="Q45" s="115" t="n">
        <f aca="false">Q44</f>
        <v>2543.15</v>
      </c>
      <c r="R45" s="98" t="n">
        <v>9</v>
      </c>
      <c r="S45" s="99"/>
      <c r="T45" s="1"/>
      <c r="U45" s="118"/>
      <c r="V45" s="119"/>
      <c r="W45" s="119"/>
      <c r="X45" s="120"/>
      <c r="Y45" s="121"/>
      <c r="AA45" s="1"/>
      <c r="AB45" s="1"/>
      <c r="AC45" s="1"/>
      <c r="AD45" s="1"/>
      <c r="AE45" s="1"/>
      <c r="AF45" s="1"/>
      <c r="AG45" s="1"/>
      <c r="AH45" s="1"/>
    </row>
    <row r="46" customFormat="false" ht="13.5" hidden="false" customHeight="true" outlineLevel="0" collapsed="false">
      <c r="A46" s="26" t="n">
        <v>27</v>
      </c>
      <c r="B46" s="101" t="s">
        <v>101</v>
      </c>
      <c r="C46" s="101" t="s">
        <v>61</v>
      </c>
      <c r="D46" s="101"/>
      <c r="E46" s="55" t="n">
        <v>178</v>
      </c>
      <c r="F46" s="39"/>
      <c r="G46" s="39"/>
      <c r="H46" s="114" t="n">
        <f aca="false">H45</f>
        <v>2543.15</v>
      </c>
      <c r="I46" s="102" t="n">
        <v>3</v>
      </c>
      <c r="J46" s="95" t="n">
        <f aca="false">IF(I46&lt;&gt;"",J45+I46/24,"")</f>
        <v>45507.4375</v>
      </c>
      <c r="K46" s="46" t="n">
        <v>2543</v>
      </c>
      <c r="L46" s="46" t="n">
        <v>1.25</v>
      </c>
      <c r="M46" s="46"/>
      <c r="N46" s="89" t="n">
        <f aca="false">IF(L46="","",L46-I46)</f>
        <v>-1.75</v>
      </c>
      <c r="O46" s="95" t="n">
        <f aca="false">IF(L46&lt;&gt;"",O45+L46/24,O45+I46/24)</f>
        <v>45504.5208333333</v>
      </c>
      <c r="P46" s="106"/>
      <c r="Q46" s="115" t="n">
        <f aca="false">Q45</f>
        <v>2543.15</v>
      </c>
      <c r="R46" s="98" t="n">
        <v>3</v>
      </c>
      <c r="S46" s="99"/>
      <c r="T46" s="1"/>
      <c r="U46" s="118"/>
      <c r="V46" s="119"/>
      <c r="W46" s="119"/>
      <c r="X46" s="120"/>
      <c r="Y46" s="121"/>
      <c r="AA46" s="1"/>
      <c r="AB46" s="1"/>
      <c r="AC46" s="1"/>
      <c r="AD46" s="1"/>
      <c r="AE46" s="1"/>
      <c r="AF46" s="1"/>
      <c r="AG46" s="1"/>
      <c r="AH46" s="1"/>
    </row>
    <row r="47" customFormat="false" ht="13.5" hidden="false" customHeight="true" outlineLevel="0" collapsed="false">
      <c r="A47" s="81" t="n">
        <v>28</v>
      </c>
      <c r="B47" s="101" t="s">
        <v>62</v>
      </c>
      <c r="C47" s="101" t="s">
        <v>102</v>
      </c>
      <c r="D47" s="101"/>
      <c r="E47" s="55" t="n">
        <v>178</v>
      </c>
      <c r="F47" s="39"/>
      <c r="G47" s="39"/>
      <c r="H47" s="114" t="n">
        <f aca="false">H46</f>
        <v>2543.15</v>
      </c>
      <c r="I47" s="102" t="n">
        <v>1</v>
      </c>
      <c r="J47" s="95" t="n">
        <f aca="false">IF(I47&lt;&gt;"",J46+I47/24,"")</f>
        <v>45507.4791666667</v>
      </c>
      <c r="K47" s="46" t="n">
        <v>2543</v>
      </c>
      <c r="L47" s="46" t="n">
        <v>1</v>
      </c>
      <c r="M47" s="46"/>
      <c r="N47" s="89" t="n">
        <f aca="false">IF(L47="","",L47-I47)</f>
        <v>0</v>
      </c>
      <c r="O47" s="95" t="n">
        <f aca="false">IF(L47&lt;&gt;"",O46+L47/24,O46+I47/24)</f>
        <v>45504.5625</v>
      </c>
      <c r="P47" s="96"/>
      <c r="Q47" s="115" t="n">
        <f aca="false">Q46</f>
        <v>2543.15</v>
      </c>
      <c r="R47" s="98" t="n">
        <v>1</v>
      </c>
      <c r="S47" s="99"/>
      <c r="T47" s="1"/>
      <c r="U47" s="118"/>
      <c r="V47" s="119"/>
      <c r="W47" s="119"/>
      <c r="X47" s="120"/>
      <c r="Y47" s="121"/>
      <c r="AA47" s="1"/>
      <c r="AB47" s="1"/>
      <c r="AC47" s="1"/>
      <c r="AD47" s="1"/>
      <c r="AE47" s="1"/>
      <c r="AF47" s="1"/>
      <c r="AG47" s="1"/>
      <c r="AH47" s="1"/>
    </row>
    <row r="48" customFormat="false" ht="13.5" hidden="false" customHeight="true" outlineLevel="0" collapsed="false">
      <c r="A48" s="26" t="n">
        <v>29</v>
      </c>
      <c r="B48" s="101" t="s">
        <v>64</v>
      </c>
      <c r="C48" s="101" t="s">
        <v>103</v>
      </c>
      <c r="D48" s="101"/>
      <c r="E48" s="55" t="n">
        <v>178</v>
      </c>
      <c r="F48" s="39"/>
      <c r="G48" s="39"/>
      <c r="H48" s="114" t="n">
        <f aca="false">H47</f>
        <v>2543.15</v>
      </c>
      <c r="I48" s="102" t="n">
        <v>18</v>
      </c>
      <c r="J48" s="95" t="n">
        <f aca="false">IF(I48&lt;&gt;"",J47+I48/24,"")</f>
        <v>45508.2291666667</v>
      </c>
      <c r="K48" s="46" t="n">
        <v>2543</v>
      </c>
      <c r="L48" s="46" t="n">
        <v>13</v>
      </c>
      <c r="M48" s="46"/>
      <c r="N48" s="89" t="n">
        <f aca="false">IF(L48="","",L48-I48)</f>
        <v>-5</v>
      </c>
      <c r="O48" s="95" t="n">
        <f aca="false">IF(L48&lt;&gt;"",O47+L48/24,O47+I48/24)</f>
        <v>45505.1041666667</v>
      </c>
      <c r="P48" s="96"/>
      <c r="Q48" s="115" t="n">
        <f aca="false">Q47</f>
        <v>2543.15</v>
      </c>
      <c r="R48" s="98" t="n">
        <v>18</v>
      </c>
      <c r="S48" s="99"/>
      <c r="T48" s="1"/>
      <c r="U48" s="118"/>
      <c r="V48" s="119"/>
      <c r="W48" s="119"/>
      <c r="X48" s="120"/>
      <c r="Y48" s="121"/>
      <c r="Z48" s="2" t="s">
        <v>70</v>
      </c>
      <c r="AA48" s="1"/>
      <c r="AB48" s="1"/>
      <c r="AC48" s="1"/>
      <c r="AD48" s="1"/>
      <c r="AE48" s="1"/>
      <c r="AF48" s="1"/>
      <c r="AG48" s="1"/>
      <c r="AH48" s="1"/>
    </row>
    <row r="49" s="14" customFormat="true" ht="16.5" hidden="false" customHeight="true" outlineLevel="0" collapsed="false">
      <c r="A49" s="81" t="n">
        <v>30</v>
      </c>
      <c r="B49" s="93" t="s">
        <v>66</v>
      </c>
      <c r="C49" s="93" t="s">
        <v>96</v>
      </c>
      <c r="D49" s="93"/>
      <c r="E49" s="55" t="n">
        <v>178</v>
      </c>
      <c r="F49" s="114"/>
      <c r="G49" s="114"/>
      <c r="H49" s="114" t="n">
        <f aca="false">H48</f>
        <v>2543.15</v>
      </c>
      <c r="I49" s="102" t="n">
        <v>2</v>
      </c>
      <c r="J49" s="95" t="n">
        <f aca="false">IF(I49&lt;&gt;"",J48+I49/24,"")</f>
        <v>45508.3125</v>
      </c>
      <c r="K49" s="46" t="n">
        <v>2543</v>
      </c>
      <c r="L49" s="46" t="n">
        <v>2</v>
      </c>
      <c r="M49" s="46"/>
      <c r="N49" s="89" t="n">
        <f aca="false">IF(L49="","",L49-I49)</f>
        <v>0</v>
      </c>
      <c r="O49" s="95" t="n">
        <f aca="false">IF(L49&lt;&gt;"",O48+L49/24,O48+I49/24)</f>
        <v>45505.1875</v>
      </c>
      <c r="P49" s="106"/>
      <c r="Q49" s="115" t="n">
        <f aca="false">Q48</f>
        <v>2543.15</v>
      </c>
      <c r="R49" s="98" t="n">
        <v>2</v>
      </c>
      <c r="S49" s="99"/>
      <c r="T49" s="108"/>
      <c r="U49" s="123" t="n">
        <f aca="false">60/(3.5)*11.3</f>
        <v>193.714285714286</v>
      </c>
      <c r="V49" s="110" t="n">
        <f aca="false">(G49-F49)/I49</f>
        <v>0</v>
      </c>
      <c r="W49" s="110"/>
      <c r="X49" s="111" t="n">
        <f aca="false">K49/(L49-M49)</f>
        <v>1271.5</v>
      </c>
      <c r="Y49" s="112"/>
      <c r="Z49" s="124" t="n">
        <f aca="false">(G49-F49)/U49</f>
        <v>0</v>
      </c>
      <c r="AA49" s="108"/>
      <c r="AB49" s="108"/>
      <c r="AC49" s="108"/>
      <c r="AD49" s="108"/>
      <c r="AE49" s="108"/>
      <c r="AF49" s="108"/>
      <c r="AG49" s="108"/>
      <c r="AH49" s="108"/>
    </row>
    <row r="50" s="14" customFormat="true" ht="13.5" hidden="false" customHeight="true" outlineLevel="0" collapsed="false">
      <c r="A50" s="26" t="n">
        <v>31</v>
      </c>
      <c r="B50" s="93" t="s">
        <v>64</v>
      </c>
      <c r="C50" s="93" t="s">
        <v>104</v>
      </c>
      <c r="D50" s="93"/>
      <c r="E50" s="55" t="n">
        <v>178</v>
      </c>
      <c r="F50" s="114"/>
      <c r="G50" s="114"/>
      <c r="H50" s="114" t="n">
        <f aca="false">H49</f>
        <v>2543.15</v>
      </c>
      <c r="I50" s="102" t="n">
        <v>4</v>
      </c>
      <c r="J50" s="95" t="n">
        <f aca="false">IF(I50&lt;&gt;"",J49+I50/24,"")</f>
        <v>45508.4791666667</v>
      </c>
      <c r="K50" s="46" t="n">
        <v>2543</v>
      </c>
      <c r="L50" s="46" t="n">
        <v>4</v>
      </c>
      <c r="M50" s="46"/>
      <c r="N50" s="89" t="n">
        <f aca="false">IF(L50="","",L50-I50)</f>
        <v>0</v>
      </c>
      <c r="O50" s="95" t="n">
        <f aca="false">IF(L50&lt;&gt;"",O49+L50/24,O49+I50/24)</f>
        <v>45505.3541666667</v>
      </c>
      <c r="P50" s="125"/>
      <c r="Q50" s="115" t="n">
        <f aca="false">Q49</f>
        <v>2543.15</v>
      </c>
      <c r="R50" s="98" t="n">
        <v>4</v>
      </c>
      <c r="S50" s="99"/>
      <c r="T50" s="108"/>
      <c r="U50" s="109"/>
      <c r="V50" s="110"/>
      <c r="W50" s="110"/>
      <c r="X50" s="126"/>
      <c r="Y50" s="112"/>
      <c r="AA50" s="108"/>
      <c r="AB50" s="108"/>
      <c r="AC50" s="108"/>
      <c r="AD50" s="108"/>
      <c r="AE50" s="108"/>
      <c r="AF50" s="108"/>
      <c r="AG50" s="108"/>
      <c r="AH50" s="108"/>
    </row>
    <row r="51" customFormat="false" ht="30.75" hidden="false" customHeight="true" outlineLevel="0" collapsed="false">
      <c r="A51" s="81" t="n">
        <v>32</v>
      </c>
      <c r="B51" s="101" t="s">
        <v>64</v>
      </c>
      <c r="C51" s="101" t="s">
        <v>105</v>
      </c>
      <c r="D51" s="101"/>
      <c r="E51" s="55" t="n">
        <v>178</v>
      </c>
      <c r="F51" s="39"/>
      <c r="G51" s="39"/>
      <c r="H51" s="114" t="n">
        <f aca="false">H50</f>
        <v>2543.15</v>
      </c>
      <c r="I51" s="102" t="n">
        <v>4</v>
      </c>
      <c r="J51" s="95" t="n">
        <f aca="false">IF(I51&lt;&gt;"",J50+I51/24,"")</f>
        <v>45508.6458333333</v>
      </c>
      <c r="K51" s="46" t="n">
        <v>2543</v>
      </c>
      <c r="L51" s="46" t="n">
        <v>2</v>
      </c>
      <c r="M51" s="46"/>
      <c r="N51" s="89" t="n">
        <f aca="false">IF(L51="","",L51-I51)</f>
        <v>-2</v>
      </c>
      <c r="O51" s="95" t="n">
        <f aca="false">IF(L51&lt;&gt;"",O50+L51/24,O50+I51/24)</f>
        <v>45505.4375</v>
      </c>
      <c r="P51" s="106"/>
      <c r="Q51" s="115" t="n">
        <f aca="false">Q50</f>
        <v>2543.15</v>
      </c>
      <c r="R51" s="98" t="n">
        <v>4</v>
      </c>
      <c r="S51" s="99"/>
      <c r="T51" s="1"/>
      <c r="U51" s="118"/>
      <c r="V51" s="119"/>
      <c r="W51" s="119"/>
      <c r="X51" s="127"/>
      <c r="Y51" s="121"/>
      <c r="AA51" s="1"/>
      <c r="AB51" s="1"/>
      <c r="AC51" s="1"/>
      <c r="AD51" s="1"/>
      <c r="AE51" s="1"/>
      <c r="AF51" s="1"/>
      <c r="AG51" s="1"/>
      <c r="AH51" s="1"/>
    </row>
    <row r="52" customFormat="false" ht="27" hidden="false" customHeight="true" outlineLevel="0" collapsed="false">
      <c r="A52" s="26" t="n">
        <v>33</v>
      </c>
      <c r="B52" s="101" t="s">
        <v>64</v>
      </c>
      <c r="C52" s="93" t="s">
        <v>106</v>
      </c>
      <c r="D52" s="93"/>
      <c r="E52" s="55" t="n">
        <v>178</v>
      </c>
      <c r="F52" s="31"/>
      <c r="G52" s="31"/>
      <c r="H52" s="114" t="n">
        <f aca="false">H51</f>
        <v>2543.15</v>
      </c>
      <c r="I52" s="102" t="n">
        <v>6</v>
      </c>
      <c r="J52" s="95" t="n">
        <f aca="false">IF(I52&lt;&gt;"",J51+I52/24,"")</f>
        <v>45508.8958333333</v>
      </c>
      <c r="K52" s="46" t="n">
        <v>2543</v>
      </c>
      <c r="L52" s="46" t="n">
        <v>2</v>
      </c>
      <c r="M52" s="46"/>
      <c r="N52" s="89" t="n">
        <f aca="false">IF(L52="","",L52-I52)</f>
        <v>-4</v>
      </c>
      <c r="O52" s="95" t="n">
        <f aca="false">IF(L52&lt;&gt;"",O51+L52/24,O51+I52/24)</f>
        <v>45505.5208333333</v>
      </c>
      <c r="P52" s="96"/>
      <c r="Q52" s="115" t="n">
        <f aca="false">Q51</f>
        <v>2543.15</v>
      </c>
      <c r="R52" s="98" t="n">
        <v>6</v>
      </c>
      <c r="S52" s="99"/>
      <c r="T52" s="1"/>
      <c r="U52" s="118"/>
      <c r="V52" s="119"/>
      <c r="W52" s="119"/>
      <c r="X52" s="127"/>
      <c r="Y52" s="121"/>
      <c r="AA52" s="1"/>
      <c r="AB52" s="1"/>
      <c r="AC52" s="1"/>
      <c r="AD52" s="1"/>
      <c r="AE52" s="1"/>
      <c r="AF52" s="1"/>
      <c r="AG52" s="1"/>
      <c r="AH52" s="1"/>
    </row>
    <row r="53" customFormat="false" ht="20.25" hidden="false" customHeight="true" outlineLevel="0" collapsed="false">
      <c r="A53" s="81" t="n">
        <v>34</v>
      </c>
      <c r="B53" s="101" t="s">
        <v>107</v>
      </c>
      <c r="C53" s="101" t="s">
        <v>108</v>
      </c>
      <c r="D53" s="101"/>
      <c r="E53" s="55" t="n">
        <v>178</v>
      </c>
      <c r="F53" s="39"/>
      <c r="G53" s="39"/>
      <c r="H53" s="114" t="n">
        <f aca="false">H52</f>
        <v>2543.15</v>
      </c>
      <c r="I53" s="128" t="n">
        <v>2.5</v>
      </c>
      <c r="J53" s="95" t="n">
        <f aca="false">IF(I53&lt;&gt;"",J52+I53/24,"")</f>
        <v>45509</v>
      </c>
      <c r="K53" s="46" t="n">
        <v>2543</v>
      </c>
      <c r="L53" s="46" t="n">
        <v>2</v>
      </c>
      <c r="M53" s="46"/>
      <c r="N53" s="89" t="n">
        <f aca="false">IF(L53="","",L53-I53)</f>
        <v>-0.5</v>
      </c>
      <c r="O53" s="95" t="n">
        <f aca="false">IF(L53&lt;&gt;"",O52+L53/24,O52+I53/24)</f>
        <v>45505.6041666667</v>
      </c>
      <c r="P53" s="96"/>
      <c r="Q53" s="115" t="n">
        <f aca="false">Q52</f>
        <v>2543.15</v>
      </c>
      <c r="R53" s="129" t="n">
        <v>2.5</v>
      </c>
      <c r="S53" s="99"/>
      <c r="T53" s="1"/>
      <c r="U53" s="130" t="n">
        <f aca="false">60/(3+3)*12.5</f>
        <v>125</v>
      </c>
      <c r="V53" s="119" t="n">
        <f aca="false">(G53-F53)/I53</f>
        <v>0</v>
      </c>
      <c r="W53" s="119"/>
      <c r="X53" s="127"/>
      <c r="Y53" s="121"/>
      <c r="Z53" s="131" t="n">
        <f aca="false">(G53-F53)/U53</f>
        <v>0</v>
      </c>
      <c r="AA53" s="1"/>
      <c r="AB53" s="1"/>
      <c r="AC53" s="1"/>
      <c r="AD53" s="1"/>
      <c r="AE53" s="1"/>
      <c r="AF53" s="1"/>
      <c r="AG53" s="1"/>
      <c r="AH53" s="1"/>
    </row>
    <row r="54" customFormat="false" ht="15.75" hidden="false" customHeight="true" outlineLevel="0" collapsed="false">
      <c r="A54" s="26" t="n">
        <v>35</v>
      </c>
      <c r="B54" s="101" t="s">
        <v>101</v>
      </c>
      <c r="C54" s="101" t="s">
        <v>109</v>
      </c>
      <c r="D54" s="101"/>
      <c r="E54" s="55" t="n">
        <v>178</v>
      </c>
      <c r="F54" s="31"/>
      <c r="G54" s="31"/>
      <c r="H54" s="114" t="n">
        <f aca="false">H53</f>
        <v>2543.15</v>
      </c>
      <c r="I54" s="102" t="n">
        <v>14</v>
      </c>
      <c r="J54" s="95" t="n">
        <f aca="false">IF(I54&lt;&gt;"",J53+I54/24,"")</f>
        <v>45509.5833333333</v>
      </c>
      <c r="K54" s="46" t="n">
        <v>2543</v>
      </c>
      <c r="L54" s="46" t="n">
        <v>2</v>
      </c>
      <c r="M54" s="46"/>
      <c r="N54" s="89" t="n">
        <f aca="false">IF(L54="","",L54-I54)</f>
        <v>-12</v>
      </c>
      <c r="O54" s="95" t="n">
        <f aca="false">IF(L54&lt;&gt;"",O53+L54/24,O53+I54/24)</f>
        <v>45505.6875</v>
      </c>
      <c r="P54" s="132"/>
      <c r="Q54" s="115" t="n">
        <f aca="false">Q53</f>
        <v>2543.15</v>
      </c>
      <c r="R54" s="98" t="n">
        <v>14</v>
      </c>
      <c r="S54" s="99"/>
      <c r="T54" s="1"/>
      <c r="U54" s="118"/>
      <c r="V54" s="119"/>
      <c r="W54" s="119"/>
      <c r="X54" s="127"/>
      <c r="Y54" s="121"/>
      <c r="AA54" s="1"/>
      <c r="AB54" s="1"/>
      <c r="AC54" s="1"/>
      <c r="AD54" s="1"/>
      <c r="AE54" s="1"/>
      <c r="AF54" s="1"/>
      <c r="AG54" s="1"/>
      <c r="AH54" s="1"/>
    </row>
    <row r="55" customFormat="false" ht="21" hidden="false" customHeight="true" outlineLevel="0" collapsed="false">
      <c r="A55" s="81" t="n">
        <v>36</v>
      </c>
      <c r="B55" s="101" t="s">
        <v>101</v>
      </c>
      <c r="C55" s="101" t="s">
        <v>110</v>
      </c>
      <c r="D55" s="101"/>
      <c r="E55" s="55" t="n">
        <v>178</v>
      </c>
      <c r="F55" s="31"/>
      <c r="G55" s="31"/>
      <c r="H55" s="114" t="n">
        <f aca="false">H54</f>
        <v>2543.15</v>
      </c>
      <c r="I55" s="55" t="n">
        <v>54</v>
      </c>
      <c r="J55" s="95" t="n">
        <f aca="false">IF(I55&lt;&gt;"",J54+I55/24,"")</f>
        <v>45511.8333333333</v>
      </c>
      <c r="K55" s="46" t="n">
        <v>2543</v>
      </c>
      <c r="L55" s="46" t="n">
        <v>36.75</v>
      </c>
      <c r="M55" s="46"/>
      <c r="N55" s="89" t="n">
        <f aca="false">IF(L55="","",L55-I55)</f>
        <v>-17.25</v>
      </c>
      <c r="O55" s="95" t="n">
        <f aca="false">IF(L55&lt;&gt;"",O54+L55/24,O54+I55/24)</f>
        <v>45507.21875</v>
      </c>
      <c r="P55" s="96"/>
      <c r="Q55" s="115" t="n">
        <f aca="false">Q54</f>
        <v>2543.15</v>
      </c>
      <c r="R55" s="98" t="n">
        <v>54</v>
      </c>
      <c r="S55" s="99"/>
      <c r="T55" s="1"/>
      <c r="U55" s="118"/>
      <c r="V55" s="119"/>
      <c r="W55" s="119"/>
      <c r="X55" s="127"/>
      <c r="Y55" s="121"/>
      <c r="Z55" s="2" t="s">
        <v>70</v>
      </c>
      <c r="AA55" s="1"/>
      <c r="AB55" s="1"/>
      <c r="AC55" s="1"/>
      <c r="AD55" s="1"/>
      <c r="AE55" s="1"/>
      <c r="AF55" s="1"/>
      <c r="AG55" s="1"/>
      <c r="AH55" s="1"/>
    </row>
    <row r="56" customFormat="false" ht="19.5" hidden="false" customHeight="true" outlineLevel="0" collapsed="false">
      <c r="A56" s="26" t="n">
        <v>37</v>
      </c>
      <c r="B56" s="101" t="s">
        <v>55</v>
      </c>
      <c r="C56" s="93" t="s">
        <v>111</v>
      </c>
      <c r="D56" s="93"/>
      <c r="E56" s="31" t="n">
        <v>114</v>
      </c>
      <c r="F56" s="31"/>
      <c r="G56" s="39"/>
      <c r="H56" s="114" t="n">
        <f aca="false">H55</f>
        <v>2543.15</v>
      </c>
      <c r="I56" s="133" t="n">
        <v>5</v>
      </c>
      <c r="J56" s="95" t="n">
        <f aca="false">IF(I56&lt;&gt;"",J55+I56/24,"")</f>
        <v>45512.0416666667</v>
      </c>
      <c r="K56" s="46" t="n">
        <v>2543</v>
      </c>
      <c r="L56" s="46" t="n">
        <v>4</v>
      </c>
      <c r="M56" s="134"/>
      <c r="N56" s="89" t="n">
        <f aca="false">IF(L56="","",L56-I56)</f>
        <v>-1</v>
      </c>
      <c r="O56" s="95" t="n">
        <f aca="false">IF(L56&lt;&gt;"",O55+L56/24,O55+I56/24)</f>
        <v>45507.3854166667</v>
      </c>
      <c r="P56" s="132"/>
      <c r="Q56" s="115" t="n">
        <f aca="false">Q55</f>
        <v>2543.15</v>
      </c>
      <c r="R56" s="135" t="n">
        <v>5</v>
      </c>
      <c r="S56" s="99"/>
      <c r="T56" s="1"/>
      <c r="U56" s="130" t="n">
        <f aca="false">60/(3)*12.5</f>
        <v>250</v>
      </c>
      <c r="V56" s="119" t="n">
        <f aca="false">(G56-F56)/I56</f>
        <v>0</v>
      </c>
      <c r="W56" s="119"/>
      <c r="X56" s="127"/>
      <c r="Y56" s="121"/>
      <c r="Z56" s="131" t="n">
        <f aca="false">(G56-F56)/U56</f>
        <v>0</v>
      </c>
      <c r="AA56" s="1"/>
      <c r="AB56" s="1"/>
      <c r="AC56" s="1"/>
      <c r="AD56" s="1"/>
      <c r="AE56" s="1"/>
      <c r="AF56" s="1"/>
      <c r="AG56" s="1"/>
      <c r="AH56" s="1"/>
    </row>
    <row r="57" s="14" customFormat="true" ht="27" hidden="false" customHeight="true" outlineLevel="0" collapsed="false">
      <c r="A57" s="81" t="n">
        <v>38</v>
      </c>
      <c r="B57" s="93" t="s">
        <v>74</v>
      </c>
      <c r="C57" s="93" t="s">
        <v>112</v>
      </c>
      <c r="D57" s="93"/>
      <c r="E57" s="31" t="n">
        <v>114</v>
      </c>
      <c r="F57" s="114"/>
      <c r="G57" s="114"/>
      <c r="H57" s="114" t="n">
        <f aca="false">H56</f>
        <v>2543.15</v>
      </c>
      <c r="I57" s="102" t="n">
        <v>16</v>
      </c>
      <c r="J57" s="95" t="n">
        <f aca="false">IF(I57&lt;&gt;"",J56+I57/24,"")</f>
        <v>45512.7083333333</v>
      </c>
      <c r="K57" s="46" t="n">
        <v>2543</v>
      </c>
      <c r="L57" s="46" t="n">
        <v>5</v>
      </c>
      <c r="M57" s="46"/>
      <c r="N57" s="89" t="n">
        <f aca="false">IF(L57="","",L57-I57)</f>
        <v>-11</v>
      </c>
      <c r="O57" s="95" t="n">
        <f aca="false">IF(L57&lt;&gt;"",O56+L57/24,O56+I57/24)</f>
        <v>45507.59375</v>
      </c>
      <c r="P57" s="96"/>
      <c r="Q57" s="115" t="n">
        <f aca="false">Q56</f>
        <v>2543.15</v>
      </c>
      <c r="R57" s="98" t="n">
        <v>16</v>
      </c>
      <c r="S57" s="99"/>
      <c r="T57" s="108"/>
      <c r="U57" s="109"/>
      <c r="V57" s="110"/>
      <c r="W57" s="110"/>
      <c r="X57" s="126"/>
      <c r="Y57" s="112"/>
      <c r="AA57" s="108"/>
      <c r="AB57" s="108"/>
      <c r="AC57" s="108"/>
      <c r="AD57" s="108"/>
      <c r="AE57" s="108"/>
      <c r="AF57" s="136" t="s">
        <v>76</v>
      </c>
      <c r="AG57" s="108"/>
      <c r="AH57" s="108"/>
    </row>
    <row r="58" customFormat="false" ht="18" hidden="false" customHeight="true" outlineLevel="0" collapsed="false">
      <c r="A58" s="26" t="n">
        <v>39</v>
      </c>
      <c r="B58" s="101" t="s">
        <v>66</v>
      </c>
      <c r="C58" s="101" t="s">
        <v>113</v>
      </c>
      <c r="D58" s="101"/>
      <c r="E58" s="31" t="n">
        <v>114</v>
      </c>
      <c r="F58" s="39"/>
      <c r="G58" s="39"/>
      <c r="H58" s="114" t="n">
        <f aca="false">H57</f>
        <v>2543.15</v>
      </c>
      <c r="I58" s="102" t="n">
        <v>2</v>
      </c>
      <c r="J58" s="95" t="n">
        <f aca="false">IF(I58&lt;&gt;"",J57+I58/24,"")</f>
        <v>45512.7916666667</v>
      </c>
      <c r="K58" s="46" t="n">
        <v>2543</v>
      </c>
      <c r="L58" s="46" t="n">
        <v>0</v>
      </c>
      <c r="M58" s="46"/>
      <c r="N58" s="89" t="n">
        <f aca="false">IF(L58="","",L58-I58)</f>
        <v>-2</v>
      </c>
      <c r="O58" s="95" t="n">
        <f aca="false">IF(L58&lt;&gt;"",O57+L58/24,O57+I58/24)</f>
        <v>45507.59375</v>
      </c>
      <c r="P58" s="96"/>
      <c r="Q58" s="115" t="n">
        <f aca="false">Q57</f>
        <v>2543.15</v>
      </c>
      <c r="R58" s="98" t="n">
        <v>2</v>
      </c>
      <c r="S58" s="99"/>
      <c r="T58" s="1"/>
      <c r="U58" s="118"/>
      <c r="V58" s="119"/>
      <c r="W58" s="119"/>
      <c r="X58" s="127"/>
      <c r="Y58" s="121"/>
      <c r="Z58" s="101" t="s">
        <v>81</v>
      </c>
      <c r="AA58" s="31" t="s">
        <v>82</v>
      </c>
      <c r="AB58" s="31" t="s">
        <v>83</v>
      </c>
      <c r="AC58" s="31" t="s">
        <v>84</v>
      </c>
      <c r="AD58" s="31" t="s">
        <v>85</v>
      </c>
      <c r="AE58" s="31" t="s">
        <v>86</v>
      </c>
      <c r="AF58" s="137" t="n">
        <v>65</v>
      </c>
      <c r="AG58" s="1"/>
      <c r="AH58" s="1" t="s">
        <v>114</v>
      </c>
      <c r="AI58" s="2" t="s">
        <v>115</v>
      </c>
      <c r="AJ58" s="121"/>
    </row>
    <row r="59" s="14" customFormat="true" ht="12.8" hidden="false" customHeight="true" outlineLevel="0" collapsed="false">
      <c r="A59" s="81" t="n">
        <v>40</v>
      </c>
      <c r="B59" s="93" t="s">
        <v>57</v>
      </c>
      <c r="C59" s="93" t="s">
        <v>116</v>
      </c>
      <c r="D59" s="93"/>
      <c r="E59" s="31" t="n">
        <v>114</v>
      </c>
      <c r="F59" s="114"/>
      <c r="G59" s="114"/>
      <c r="H59" s="114" t="n">
        <f aca="false">H58</f>
        <v>2543.15</v>
      </c>
      <c r="I59" s="114" t="n">
        <v>3</v>
      </c>
      <c r="J59" s="95" t="n">
        <f aca="false">IF(I59&lt;&gt;"",J58+I59/24,"")</f>
        <v>45512.9166666667</v>
      </c>
      <c r="K59" s="46" t="n">
        <v>2543</v>
      </c>
      <c r="L59" s="46" t="n">
        <v>3</v>
      </c>
      <c r="M59" s="46"/>
      <c r="N59" s="89" t="n">
        <f aca="false">IF(L59="","",L59-I59)</f>
        <v>0</v>
      </c>
      <c r="O59" s="95" t="n">
        <f aca="false">IF(L59&lt;&gt;"",O58+L59/24,O58+I59/24)</f>
        <v>45507.71875</v>
      </c>
      <c r="P59" s="96"/>
      <c r="Q59" s="115" t="n">
        <f aca="false">Q58</f>
        <v>2543.15</v>
      </c>
      <c r="R59" s="104" t="n">
        <v>3</v>
      </c>
      <c r="S59" s="99"/>
      <c r="T59" s="108"/>
      <c r="U59" s="109" t="n">
        <v>30</v>
      </c>
      <c r="V59" s="110" t="n">
        <f aca="false">(G59-F59)/I59</f>
        <v>0</v>
      </c>
      <c r="W59" s="110"/>
      <c r="X59" s="111" t="n">
        <f aca="false">(K59-K58)/(L59-M59)</f>
        <v>0</v>
      </c>
      <c r="Y59" s="112"/>
      <c r="Z59" s="124" t="n">
        <f aca="false">(G59-F59)/25.5</f>
        <v>0</v>
      </c>
      <c r="AA59" s="138" t="n">
        <f aca="false">Z59*0.15*$E$15</f>
        <v>0</v>
      </c>
      <c r="AB59" s="123" t="n">
        <f aca="false">Z59*5/60</f>
        <v>0</v>
      </c>
      <c r="AC59" s="123" t="n">
        <f aca="false">(G59-F59)*0.2/8*8/60</f>
        <v>0</v>
      </c>
      <c r="AD59" s="123" t="n">
        <f aca="false">Z59*3*25.5/1000</f>
        <v>0</v>
      </c>
      <c r="AE59" s="123" t="n">
        <f aca="false">(220.7^2-127^2)*3.14/4/10^6*200/40/60/60*1000*Z59</f>
        <v>0</v>
      </c>
      <c r="AF59" s="123" t="n">
        <f aca="false">(G59-F59)/AF58</f>
        <v>0</v>
      </c>
      <c r="AG59" s="108"/>
      <c r="AH59" s="109" t="n">
        <f aca="false">SUM(AA59:AF59)</f>
        <v>0</v>
      </c>
    </row>
    <row r="60" customFormat="false" ht="18" hidden="false" customHeight="true" outlineLevel="0" collapsed="false">
      <c r="A60" s="26" t="n">
        <v>41</v>
      </c>
      <c r="B60" s="93" t="s">
        <v>57</v>
      </c>
      <c r="C60" s="93" t="s">
        <v>117</v>
      </c>
      <c r="D60" s="93"/>
      <c r="E60" s="31" t="n">
        <v>114</v>
      </c>
      <c r="F60" s="114"/>
      <c r="G60" s="114"/>
      <c r="H60" s="114" t="n">
        <f aca="false">H59</f>
        <v>2543.15</v>
      </c>
      <c r="I60" s="55" t="n">
        <v>2</v>
      </c>
      <c r="J60" s="95" t="n">
        <f aca="false">IF(I60&lt;&gt;"",J59+I60/24,"")</f>
        <v>45513</v>
      </c>
      <c r="K60" s="46" t="n">
        <v>2543</v>
      </c>
      <c r="L60" s="46" t="n">
        <v>2</v>
      </c>
      <c r="M60" s="46"/>
      <c r="N60" s="89" t="n">
        <f aca="false">IF(L60="","",L60-I60)</f>
        <v>0</v>
      </c>
      <c r="O60" s="95" t="n">
        <f aca="false">IF(L60&lt;&gt;"",O59+L60/24,O59+I60/24)</f>
        <v>45507.8020833334</v>
      </c>
      <c r="P60" s="96"/>
      <c r="Q60" s="115" t="n">
        <f aca="false">Q59</f>
        <v>2543.15</v>
      </c>
      <c r="R60" s="98" t="n">
        <v>2</v>
      </c>
      <c r="S60" s="99"/>
      <c r="T60" s="1"/>
      <c r="U60" s="118"/>
      <c r="V60" s="119"/>
      <c r="W60" s="119"/>
      <c r="X60" s="127"/>
      <c r="Y60" s="121"/>
      <c r="AA60" s="1"/>
      <c r="AB60" s="1"/>
      <c r="AC60" s="1"/>
      <c r="AD60" s="1"/>
      <c r="AE60" s="1"/>
      <c r="AF60" s="139" t="n">
        <v>55</v>
      </c>
      <c r="AG60" s="1"/>
      <c r="AH60" s="1"/>
    </row>
    <row r="61" s="14" customFormat="true" ht="12.8" hidden="false" customHeight="true" outlineLevel="0" collapsed="false">
      <c r="A61" s="81" t="n">
        <v>42</v>
      </c>
      <c r="B61" s="93" t="s">
        <v>66</v>
      </c>
      <c r="C61" s="93" t="s">
        <v>118</v>
      </c>
      <c r="D61" s="93"/>
      <c r="E61" s="31" t="n">
        <v>114</v>
      </c>
      <c r="F61" s="114"/>
      <c r="G61" s="114"/>
      <c r="H61" s="114" t="n">
        <f aca="false">H60</f>
        <v>2543.15</v>
      </c>
      <c r="I61" s="123" t="n">
        <v>1</v>
      </c>
      <c r="J61" s="95" t="n">
        <f aca="false">IF(I61&lt;&gt;"",J60+I61/24,"")</f>
        <v>45513.0416666667</v>
      </c>
      <c r="K61" s="46" t="n">
        <v>2543</v>
      </c>
      <c r="L61" s="46" t="n">
        <v>1</v>
      </c>
      <c r="M61" s="46"/>
      <c r="N61" s="89" t="n">
        <f aca="false">IF(L61="","",L61-I61)</f>
        <v>0</v>
      </c>
      <c r="O61" s="95" t="n">
        <f aca="false">IF(L61&lt;&gt;"",O60+L61/24,O60+I61/24)</f>
        <v>45507.84375</v>
      </c>
      <c r="P61" s="106"/>
      <c r="Q61" s="115" t="n">
        <f aca="false">Q60</f>
        <v>2543.15</v>
      </c>
      <c r="R61" s="135" t="n">
        <v>1</v>
      </c>
      <c r="S61" s="99"/>
      <c r="T61" s="108"/>
      <c r="U61" s="109" t="n">
        <v>27</v>
      </c>
      <c r="V61" s="110" t="n">
        <f aca="false">(G61-F61)/I61</f>
        <v>0</v>
      </c>
      <c r="W61" s="110"/>
      <c r="X61" s="111" t="n">
        <f aca="false">(K61-K60)/(L61-M61)</f>
        <v>0</v>
      </c>
      <c r="Y61" s="112"/>
      <c r="Z61" s="124" t="n">
        <f aca="false">(G61-F61)/25.5</f>
        <v>0</v>
      </c>
      <c r="AA61" s="138" t="n">
        <f aca="false">Z61*0.15*$E$15</f>
        <v>0</v>
      </c>
      <c r="AB61" s="123" t="n">
        <f aca="false">Z61*5/60</f>
        <v>0</v>
      </c>
      <c r="AC61" s="123" t="n">
        <f aca="false">(G61-F61)*0.6/8*5/60</f>
        <v>0</v>
      </c>
      <c r="AD61" s="123" t="n">
        <f aca="false">Z61*3*25.5/1000</f>
        <v>0</v>
      </c>
      <c r="AE61" s="123" t="n">
        <f aca="false">(220.7^2-127^2)*3.14/4/10^6*200/40/60/60*1000*Z61</f>
        <v>0</v>
      </c>
      <c r="AF61" s="123" t="n">
        <f aca="false">(G61-F61)/AF60</f>
        <v>0</v>
      </c>
      <c r="AG61" s="108"/>
      <c r="AH61" s="109" t="n">
        <f aca="false">SUM(AA61:AF61)</f>
        <v>0</v>
      </c>
    </row>
    <row r="62" customFormat="false" ht="27.75" hidden="false" customHeight="true" outlineLevel="0" collapsed="false">
      <c r="A62" s="26" t="n">
        <v>43</v>
      </c>
      <c r="B62" s="93" t="s">
        <v>57</v>
      </c>
      <c r="C62" s="103" t="s">
        <v>119</v>
      </c>
      <c r="D62" s="103"/>
      <c r="E62" s="98" t="n">
        <v>114</v>
      </c>
      <c r="F62" s="104" t="n">
        <f aca="false">G43</f>
        <v>2543.15</v>
      </c>
      <c r="G62" s="104" t="n">
        <f aca="false">E7-50</f>
        <v>3110</v>
      </c>
      <c r="H62" s="104" t="n">
        <f aca="false">G62</f>
        <v>3110</v>
      </c>
      <c r="I62" s="98" t="n">
        <v>46</v>
      </c>
      <c r="J62" s="95" t="n">
        <f aca="false">IF(I62&lt;&gt;"",J61+I62/24,"")</f>
        <v>45514.9583333333</v>
      </c>
      <c r="K62" s="46" t="n">
        <v>3107</v>
      </c>
      <c r="L62" s="46" t="n">
        <v>34.5</v>
      </c>
      <c r="M62" s="46"/>
      <c r="N62" s="89" t="n">
        <f aca="false">IF(L62="","",L62-I62)</f>
        <v>-11.5</v>
      </c>
      <c r="O62" s="95" t="n">
        <f aca="false">IF(L62&lt;&gt;"",O61+L62/24,O61+I62/24)</f>
        <v>45509.28125</v>
      </c>
      <c r="P62" s="96"/>
      <c r="Q62" s="115" t="n">
        <f aca="false">H62</f>
        <v>3110</v>
      </c>
      <c r="R62" s="98" t="n">
        <v>46</v>
      </c>
      <c r="S62" s="99"/>
      <c r="T62" s="1"/>
      <c r="U62" s="118"/>
      <c r="V62" s="119"/>
      <c r="W62" s="119"/>
      <c r="X62" s="127"/>
      <c r="Y62" s="121"/>
      <c r="AA62" s="1"/>
      <c r="AB62" s="1"/>
      <c r="AC62" s="1"/>
      <c r="AD62" s="1"/>
      <c r="AE62" s="1"/>
      <c r="AF62" s="139" t="n">
        <v>45</v>
      </c>
      <c r="AG62" s="1"/>
      <c r="AH62" s="1"/>
    </row>
    <row r="63" s="14" customFormat="true" ht="12.8" hidden="false" customHeight="true" outlineLevel="0" collapsed="false">
      <c r="A63" s="81" t="n">
        <v>44</v>
      </c>
      <c r="B63" s="93" t="s">
        <v>66</v>
      </c>
      <c r="C63" s="93" t="s">
        <v>120</v>
      </c>
      <c r="D63" s="93"/>
      <c r="E63" s="55" t="n">
        <v>114</v>
      </c>
      <c r="F63" s="114"/>
      <c r="G63" s="114"/>
      <c r="H63" s="114" t="n">
        <f aca="false">H62</f>
        <v>3110</v>
      </c>
      <c r="I63" s="123" t="n">
        <v>2</v>
      </c>
      <c r="J63" s="95" t="n">
        <f aca="false">IF(I63&lt;&gt;"",J62+I63/24,"")</f>
        <v>45515.0416666667</v>
      </c>
      <c r="K63" s="46" t="n">
        <v>3107</v>
      </c>
      <c r="L63" s="46" t="n">
        <v>0.75</v>
      </c>
      <c r="M63" s="46"/>
      <c r="N63" s="89" t="n">
        <f aca="false">IF(L63="","",L63-I63)</f>
        <v>-1.25</v>
      </c>
      <c r="O63" s="95" t="n">
        <f aca="false">IF(L63&lt;&gt;"",O62+L63/24,O62+I63/24)</f>
        <v>45509.3125</v>
      </c>
      <c r="P63" s="132"/>
      <c r="Q63" s="115" t="n">
        <f aca="false">Q62</f>
        <v>3110</v>
      </c>
      <c r="R63" s="135" t="n">
        <v>2</v>
      </c>
      <c r="S63" s="99"/>
      <c r="T63" s="108"/>
      <c r="U63" s="109" t="n">
        <v>22</v>
      </c>
      <c r="V63" s="110" t="n">
        <f aca="false">(G63-F63)/I63</f>
        <v>0</v>
      </c>
      <c r="W63" s="110"/>
      <c r="X63" s="111" t="n">
        <f aca="false">(K63-K62)/(L63-M63)</f>
        <v>0</v>
      </c>
      <c r="Y63" s="112"/>
      <c r="Z63" s="124" t="n">
        <f aca="false">(G63-F63)/25.5</f>
        <v>0</v>
      </c>
      <c r="AA63" s="138" t="n">
        <f aca="false">Z63*0.15*$E$15</f>
        <v>0</v>
      </c>
      <c r="AB63" s="123" t="n">
        <f aca="false">Z63*5/60</f>
        <v>0</v>
      </c>
      <c r="AC63" s="123" t="n">
        <f aca="false">(G63-F63)*0.2/8*5/60</f>
        <v>0</v>
      </c>
      <c r="AD63" s="123" t="n">
        <f aca="false">Z63*3*25.5/1000</f>
        <v>0</v>
      </c>
      <c r="AE63" s="123" t="n">
        <f aca="false">(220.7^2-127^2)*3.14/4/10^6*200/40/60/60*1000*Z63</f>
        <v>0</v>
      </c>
      <c r="AF63" s="123" t="n">
        <f aca="false">(G63-F63)/AF62</f>
        <v>0</v>
      </c>
      <c r="AG63" s="108"/>
      <c r="AH63" s="109" t="n">
        <f aca="false">SUM(AA63:AF63)</f>
        <v>0</v>
      </c>
    </row>
    <row r="64" s="14" customFormat="true" ht="13.5" hidden="false" customHeight="true" outlineLevel="0" collapsed="false">
      <c r="A64" s="26" t="n">
        <v>45</v>
      </c>
      <c r="B64" s="93" t="s">
        <v>101</v>
      </c>
      <c r="C64" s="93" t="s">
        <v>121</v>
      </c>
      <c r="D64" s="93"/>
      <c r="E64" s="55" t="n">
        <v>114</v>
      </c>
      <c r="F64" s="114"/>
      <c r="G64" s="114"/>
      <c r="H64" s="114" t="n">
        <f aca="false">H63</f>
        <v>3110</v>
      </c>
      <c r="I64" s="123" t="n">
        <v>1</v>
      </c>
      <c r="J64" s="95" t="n">
        <f aca="false">IF(I64&lt;&gt;"",J63+I64/24,"")</f>
        <v>45515.0833333333</v>
      </c>
      <c r="K64" s="46" t="n">
        <v>3107</v>
      </c>
      <c r="L64" s="46" t="n">
        <v>0.5</v>
      </c>
      <c r="M64" s="46"/>
      <c r="N64" s="89" t="n">
        <f aca="false">IF(L64="","",L64-I64)</f>
        <v>-0.5</v>
      </c>
      <c r="O64" s="95" t="n">
        <f aca="false">IF(L64&lt;&gt;"",O63+L64/24,O63+I64/24)</f>
        <v>45509.3333333334</v>
      </c>
      <c r="P64" s="132"/>
      <c r="Q64" s="115" t="n">
        <f aca="false">Q63</f>
        <v>3110</v>
      </c>
      <c r="R64" s="135" t="n">
        <v>1</v>
      </c>
      <c r="S64" s="99"/>
      <c r="T64" s="108"/>
      <c r="U64" s="109"/>
      <c r="V64" s="110"/>
      <c r="W64" s="110"/>
      <c r="X64" s="111"/>
      <c r="Y64" s="112"/>
      <c r="Z64" s="140"/>
      <c r="AA64" s="113"/>
      <c r="AB64" s="109"/>
      <c r="AC64" s="109"/>
      <c r="AD64" s="109"/>
      <c r="AE64" s="109"/>
      <c r="AF64" s="109"/>
      <c r="AG64" s="108"/>
      <c r="AH64" s="109"/>
    </row>
    <row r="65" customFormat="false" ht="26.25" hidden="false" customHeight="true" outlineLevel="0" collapsed="false">
      <c r="A65" s="81" t="n">
        <v>46</v>
      </c>
      <c r="B65" s="101" t="s">
        <v>57</v>
      </c>
      <c r="C65" s="103" t="s">
        <v>122</v>
      </c>
      <c r="D65" s="103"/>
      <c r="E65" s="98" t="n">
        <v>114</v>
      </c>
      <c r="F65" s="104" t="n">
        <f aca="false">G62</f>
        <v>3110</v>
      </c>
      <c r="G65" s="115" t="n">
        <f aca="false">E8</f>
        <v>4660</v>
      </c>
      <c r="H65" s="104" t="n">
        <f aca="false">G65</f>
        <v>4660</v>
      </c>
      <c r="I65" s="98" t="n">
        <v>130</v>
      </c>
      <c r="J65" s="95" t="n">
        <f aca="false">IF(I65&lt;&gt;"",J64+I65/24,"")</f>
        <v>45520.5</v>
      </c>
      <c r="K65" s="46" t="n">
        <v>3501</v>
      </c>
      <c r="L65" s="46" t="n">
        <v>46</v>
      </c>
      <c r="M65" s="116" t="n">
        <v>14.5</v>
      </c>
      <c r="N65" s="89" t="n">
        <f aca="false">IF(L65="","",L65-I65)</f>
        <v>-84</v>
      </c>
      <c r="O65" s="95" t="n">
        <f aca="false">IF(L65&lt;&gt;"",O64+L65/24,O64+I65/24)</f>
        <v>45511.25</v>
      </c>
      <c r="P65" s="132" t="s">
        <v>123</v>
      </c>
      <c r="Q65" s="115" t="n">
        <f aca="false">H65</f>
        <v>4660</v>
      </c>
      <c r="R65" s="98" t="n">
        <v>130</v>
      </c>
      <c r="S65" s="99"/>
      <c r="T65" s="1"/>
      <c r="U65" s="118"/>
      <c r="V65" s="119"/>
      <c r="W65" s="119"/>
      <c r="X65" s="127"/>
      <c r="Y65" s="121"/>
      <c r="Z65" s="141" t="s">
        <v>70</v>
      </c>
      <c r="AA65" s="1"/>
      <c r="AB65" s="1"/>
      <c r="AC65" s="1"/>
      <c r="AD65" s="1"/>
      <c r="AE65" s="1"/>
      <c r="AF65" s="1"/>
      <c r="AG65" s="1"/>
      <c r="AH65" s="1"/>
    </row>
    <row r="66" customFormat="false" ht="13.5" hidden="false" customHeight="true" outlineLevel="0" collapsed="false">
      <c r="A66" s="26" t="n">
        <v>47</v>
      </c>
      <c r="B66" s="93" t="s">
        <v>66</v>
      </c>
      <c r="C66" s="93" t="s">
        <v>96</v>
      </c>
      <c r="D66" s="93"/>
      <c r="E66" s="31" t="n">
        <v>114</v>
      </c>
      <c r="F66" s="39"/>
      <c r="G66" s="39"/>
      <c r="H66" s="39" t="n">
        <f aca="false">H65</f>
        <v>4660</v>
      </c>
      <c r="I66" s="55" t="n">
        <v>3</v>
      </c>
      <c r="J66" s="95" t="n">
        <f aca="false">IF(I66&lt;&gt;"",J65+I66/24,"")</f>
        <v>45520.625</v>
      </c>
      <c r="K66" s="46"/>
      <c r="L66" s="46"/>
      <c r="M66" s="46"/>
      <c r="N66" s="89" t="str">
        <f aca="false">IF(L66="","",L66-I66)</f>
        <v/>
      </c>
      <c r="O66" s="95" t="n">
        <f aca="false">IF(L66&lt;&gt;"",O65+L66/24,O65+I66/24)</f>
        <v>45511.375</v>
      </c>
      <c r="P66" s="142"/>
      <c r="Q66" s="115" t="n">
        <f aca="false">Q65</f>
        <v>4660</v>
      </c>
      <c r="R66" s="98" t="n">
        <v>3</v>
      </c>
      <c r="S66" s="99"/>
      <c r="T66" s="1"/>
      <c r="U66" s="118" t="n">
        <v>200</v>
      </c>
      <c r="V66" s="119" t="n">
        <f aca="false">(G66-F66)/I66</f>
        <v>0</v>
      </c>
      <c r="W66" s="119"/>
      <c r="X66" s="120" t="e">
        <f aca="false">(K66-K57)/(L66-M66)</f>
        <v>#DIV/0!</v>
      </c>
      <c r="Y66" s="121"/>
      <c r="Z66" s="101" t="n">
        <f aca="false">ROUNDDOWN(0.089*$E$15*(F66-G66)/25.5,2)</f>
        <v>0</v>
      </c>
      <c r="AA66" s="1"/>
      <c r="AB66" s="1"/>
      <c r="AC66" s="1"/>
      <c r="AD66" s="1"/>
      <c r="AE66" s="1"/>
      <c r="AF66" s="1"/>
      <c r="AG66" s="1"/>
      <c r="AH66" s="1"/>
    </row>
    <row r="67" customFormat="false" ht="13.5" hidden="false" customHeight="true" outlineLevel="0" collapsed="false">
      <c r="A67" s="81" t="n">
        <v>48</v>
      </c>
      <c r="B67" s="101" t="s">
        <v>74</v>
      </c>
      <c r="C67" s="93" t="s">
        <v>124</v>
      </c>
      <c r="D67" s="93"/>
      <c r="E67" s="31" t="n">
        <v>114</v>
      </c>
      <c r="F67" s="39"/>
      <c r="G67" s="39"/>
      <c r="H67" s="39" t="n">
        <f aca="false">H66</f>
        <v>4660</v>
      </c>
      <c r="I67" s="102" t="n">
        <v>7</v>
      </c>
      <c r="J67" s="95" t="n">
        <f aca="false">IF(I67&lt;&gt;"",J66+I67/24,"")</f>
        <v>45520.9166666667</v>
      </c>
      <c r="K67" s="46"/>
      <c r="L67" s="46"/>
      <c r="M67" s="46"/>
      <c r="N67" s="89" t="str">
        <f aca="false">IF(L67="","",L67-I67)</f>
        <v/>
      </c>
      <c r="O67" s="95" t="n">
        <f aca="false">IF(L67&lt;&gt;"",O66+L67/24,O66+I67/24)</f>
        <v>45511.6666666667</v>
      </c>
      <c r="P67" s="96"/>
      <c r="Q67" s="115" t="n">
        <f aca="false">Q66</f>
        <v>4660</v>
      </c>
      <c r="R67" s="98" t="n">
        <v>7</v>
      </c>
      <c r="S67" s="99"/>
      <c r="T67" s="1"/>
      <c r="U67" s="118" t="n">
        <v>250</v>
      </c>
      <c r="V67" s="119" t="n">
        <f aca="false">(G67-F67)/I67</f>
        <v>0</v>
      </c>
      <c r="W67" s="119"/>
      <c r="X67" s="120" t="e">
        <f aca="false">(K67-K57)/(L67-M67)</f>
        <v>#DIV/0!</v>
      </c>
      <c r="Y67" s="121"/>
      <c r="Z67" s="101" t="n">
        <f aca="false">ROUNDDOWN(0.085*$E$15*(G67-F67)/25.5,2)</f>
        <v>0</v>
      </c>
      <c r="AA67" s="1"/>
      <c r="AB67" s="1"/>
      <c r="AC67" s="1"/>
      <c r="AD67" s="1"/>
      <c r="AE67" s="1"/>
      <c r="AF67" s="1"/>
      <c r="AG67" s="1"/>
      <c r="AH67" s="1"/>
    </row>
    <row r="68" customFormat="false" ht="33.75" hidden="false" customHeight="true" outlineLevel="0" collapsed="false">
      <c r="A68" s="26" t="n">
        <v>49</v>
      </c>
      <c r="B68" s="101" t="s">
        <v>74</v>
      </c>
      <c r="C68" s="101" t="s">
        <v>125</v>
      </c>
      <c r="D68" s="101"/>
      <c r="E68" s="31" t="n">
        <v>114</v>
      </c>
      <c r="F68" s="39"/>
      <c r="G68" s="39"/>
      <c r="H68" s="39" t="n">
        <f aca="false">H67</f>
        <v>4660</v>
      </c>
      <c r="I68" s="102" t="n">
        <v>0</v>
      </c>
      <c r="J68" s="95" t="n">
        <f aca="false">IF(I68&lt;&gt;"",J67+I68/24,"")</f>
        <v>45520.9166666667</v>
      </c>
      <c r="K68" s="46"/>
      <c r="L68" s="46"/>
      <c r="M68" s="46"/>
      <c r="N68" s="89" t="str">
        <f aca="false">IF(L68="","",L68-I68)</f>
        <v/>
      </c>
      <c r="O68" s="95" t="n">
        <f aca="false">IF(L68&lt;&gt;"",O67+L68/24,O67+I68/24)</f>
        <v>45511.6666666667</v>
      </c>
      <c r="P68" s="96"/>
      <c r="Q68" s="115" t="n">
        <f aca="false">Q67</f>
        <v>4660</v>
      </c>
      <c r="R68" s="98" t="n">
        <v>0</v>
      </c>
      <c r="S68" s="99"/>
      <c r="T68" s="1"/>
      <c r="U68" s="118"/>
      <c r="V68" s="119"/>
      <c r="W68" s="119"/>
      <c r="X68" s="127"/>
      <c r="Y68" s="121"/>
      <c r="AA68" s="1"/>
      <c r="AB68" s="1"/>
      <c r="AC68" s="1"/>
      <c r="AD68" s="1"/>
      <c r="AE68" s="1"/>
      <c r="AF68" s="143" t="n">
        <v>36</v>
      </c>
      <c r="AG68" s="1"/>
      <c r="AH68" s="1"/>
    </row>
    <row r="69" customFormat="false" ht="39.75" hidden="false" customHeight="true" outlineLevel="0" collapsed="false">
      <c r="A69" s="81" t="n">
        <v>50</v>
      </c>
      <c r="B69" s="93" t="s">
        <v>59</v>
      </c>
      <c r="C69" s="93" t="s">
        <v>126</v>
      </c>
      <c r="D69" s="93"/>
      <c r="E69" s="31" t="n">
        <v>114</v>
      </c>
      <c r="F69" s="114"/>
      <c r="G69" s="114"/>
      <c r="H69" s="39" t="n">
        <f aca="false">H68</f>
        <v>4660</v>
      </c>
      <c r="I69" s="144" t="n">
        <v>34</v>
      </c>
      <c r="J69" s="95" t="n">
        <f aca="false">IF(I69&lt;&gt;"",J68+I69/24,"")</f>
        <v>45522.3333333333</v>
      </c>
      <c r="K69" s="46"/>
      <c r="L69" s="46"/>
      <c r="M69" s="46"/>
      <c r="N69" s="89" t="str">
        <f aca="false">IF(L69="","",L69-I69)</f>
        <v/>
      </c>
      <c r="O69" s="95" t="n">
        <f aca="false">IF(L69&lt;&gt;"",O68+L69/24,O68+I69/24)</f>
        <v>45513.0833333333</v>
      </c>
      <c r="P69" s="106"/>
      <c r="Q69" s="115" t="n">
        <f aca="false">Q68</f>
        <v>4660</v>
      </c>
      <c r="R69" s="135" t="n">
        <v>34</v>
      </c>
      <c r="S69" s="99"/>
      <c r="T69" s="1"/>
      <c r="U69" s="118" t="n">
        <v>17</v>
      </c>
      <c r="V69" s="119" t="n">
        <f aca="false">(G69-F69)/I69</f>
        <v>0</v>
      </c>
      <c r="W69" s="119"/>
      <c r="X69" s="120" t="e">
        <f aca="false">(K69-K68)/(L69-M69)</f>
        <v>#DIV/0!</v>
      </c>
      <c r="Y69" s="121"/>
      <c r="Z69" s="131" t="n">
        <f aca="false">(G69-F69)/25.5</f>
        <v>0</v>
      </c>
      <c r="AA69" s="145" t="n">
        <f aca="false">Z69*0.15*$E$15</f>
        <v>0</v>
      </c>
      <c r="AB69" s="130" t="n">
        <f aca="false">Z69*5/60</f>
        <v>0</v>
      </c>
      <c r="AC69" s="130" t="n">
        <f aca="false">(G69-F69)*0.6/8*5/60</f>
        <v>0</v>
      </c>
      <c r="AD69" s="130" t="n">
        <f aca="false">Z69*3*25.5/1000</f>
        <v>0</v>
      </c>
      <c r="AE69" s="130" t="n">
        <f aca="false">(220.7^2-127^2)*3.14/4/10^6*200/40/60/60*1000*Z69</f>
        <v>0</v>
      </c>
      <c r="AF69" s="130" t="n">
        <f aca="false">(G69-F69)/AF68</f>
        <v>0</v>
      </c>
      <c r="AG69" s="1"/>
      <c r="AH69" s="118" t="n">
        <f aca="false">SUM(AA69:AF69)</f>
        <v>0</v>
      </c>
    </row>
    <row r="70" s="14" customFormat="true" ht="13.5" hidden="false" customHeight="true" outlineLevel="0" collapsed="false">
      <c r="A70" s="26" t="n">
        <v>51</v>
      </c>
      <c r="B70" s="93" t="s">
        <v>66</v>
      </c>
      <c r="C70" s="93" t="s">
        <v>127</v>
      </c>
      <c r="D70" s="93"/>
      <c r="E70" s="31" t="n">
        <v>114</v>
      </c>
      <c r="F70" s="114"/>
      <c r="G70" s="146"/>
      <c r="H70" s="39" t="n">
        <f aca="false">H69</f>
        <v>4660</v>
      </c>
      <c r="I70" s="102" t="n">
        <v>3.5</v>
      </c>
      <c r="J70" s="95" t="n">
        <f aca="false">IF(I70&lt;&gt;"",J69+I70/24,"")</f>
        <v>45522.4791666667</v>
      </c>
      <c r="K70" s="46"/>
      <c r="L70" s="46"/>
      <c r="M70" s="46"/>
      <c r="N70" s="89" t="str">
        <f aca="false">IF(L70="","",L70-I70)</f>
        <v/>
      </c>
      <c r="O70" s="95" t="n">
        <f aca="false">IF(L70&lt;&gt;"",O69+L70/24,O69+I70/24)</f>
        <v>45513.2291666667</v>
      </c>
      <c r="P70" s="125"/>
      <c r="Q70" s="115" t="n">
        <f aca="false">Q69</f>
        <v>4660</v>
      </c>
      <c r="R70" s="98" t="n">
        <v>3.5</v>
      </c>
      <c r="S70" s="99"/>
      <c r="T70" s="108"/>
      <c r="U70" s="109"/>
      <c r="V70" s="110"/>
      <c r="W70" s="110"/>
      <c r="X70" s="126"/>
      <c r="Y70" s="112"/>
      <c r="AA70" s="108"/>
      <c r="AB70" s="108"/>
      <c r="AC70" s="108"/>
      <c r="AD70" s="108"/>
      <c r="AE70" s="108"/>
      <c r="AF70" s="108"/>
      <c r="AG70" s="108"/>
      <c r="AH70" s="108"/>
    </row>
    <row r="71" customFormat="false" ht="33" hidden="false" customHeight="true" outlineLevel="0" collapsed="false">
      <c r="A71" s="81" t="n">
        <v>52</v>
      </c>
      <c r="B71" s="93" t="s">
        <v>74</v>
      </c>
      <c r="C71" s="101" t="s">
        <v>128</v>
      </c>
      <c r="D71" s="101"/>
      <c r="E71" s="31" t="n">
        <v>114</v>
      </c>
      <c r="F71" s="39"/>
      <c r="G71" s="39"/>
      <c r="H71" s="39" t="n">
        <f aca="false">H70</f>
        <v>4660</v>
      </c>
      <c r="I71" s="102" t="n">
        <v>14</v>
      </c>
      <c r="J71" s="95" t="n">
        <f aca="false">IF(I71&lt;&gt;"",J70+I71/24,"")</f>
        <v>45523.0625</v>
      </c>
      <c r="K71" s="46"/>
      <c r="L71" s="46"/>
      <c r="M71" s="46"/>
      <c r="N71" s="89" t="str">
        <f aca="false">IF(L71="","",L71-I71)</f>
        <v/>
      </c>
      <c r="O71" s="95" t="n">
        <f aca="false">IF(L71&lt;&gt;"",O70+L71/24,O70+I71/24)</f>
        <v>45513.8125</v>
      </c>
      <c r="P71" s="132"/>
      <c r="Q71" s="115" t="n">
        <f aca="false">Q70</f>
        <v>4660</v>
      </c>
      <c r="R71" s="98" t="n">
        <v>14</v>
      </c>
      <c r="S71" s="99"/>
      <c r="T71" s="1"/>
      <c r="U71" s="118" t="n">
        <v>170</v>
      </c>
      <c r="V71" s="119" t="n">
        <f aca="false">(G71-F71)/I71</f>
        <v>0</v>
      </c>
      <c r="W71" s="119"/>
      <c r="X71" s="120" t="e">
        <f aca="false">(K71-K57)/(L71-M71)</f>
        <v>#DIV/0!</v>
      </c>
      <c r="Y71" s="121"/>
      <c r="AA71" s="1"/>
      <c r="AB71" s="1"/>
      <c r="AC71" s="1"/>
      <c r="AD71" s="1"/>
      <c r="AE71" s="1"/>
      <c r="AF71" s="1"/>
      <c r="AG71" s="1"/>
      <c r="AH71" s="1"/>
    </row>
    <row r="72" customFormat="false" ht="13.5" hidden="false" customHeight="true" outlineLevel="0" collapsed="false">
      <c r="A72" s="26" t="n">
        <v>53</v>
      </c>
      <c r="B72" s="101" t="s">
        <v>55</v>
      </c>
      <c r="C72" s="101" t="s">
        <v>61</v>
      </c>
      <c r="D72" s="101"/>
      <c r="E72" s="31" t="n">
        <v>114</v>
      </c>
      <c r="F72" s="39"/>
      <c r="G72" s="39"/>
      <c r="H72" s="39" t="n">
        <f aca="false">H71</f>
        <v>4660</v>
      </c>
      <c r="I72" s="102" t="n">
        <v>4</v>
      </c>
      <c r="J72" s="95" t="n">
        <f aca="false">IF(I72&lt;&gt;"",J71+I72/24,"")</f>
        <v>45523.2291666667</v>
      </c>
      <c r="K72" s="46"/>
      <c r="L72" s="46"/>
      <c r="M72" s="46"/>
      <c r="N72" s="89" t="str">
        <f aca="false">IF(L72="","",L72-I72)</f>
        <v/>
      </c>
      <c r="O72" s="95" t="n">
        <f aca="false">IF(L72&lt;&gt;"",O71+L72/24,O71+I72/24)</f>
        <v>45513.9791666667</v>
      </c>
      <c r="P72" s="96"/>
      <c r="Q72" s="115" t="n">
        <f aca="false">Q71</f>
        <v>4660</v>
      </c>
      <c r="R72" s="98" t="n">
        <v>4</v>
      </c>
      <c r="S72" s="99"/>
      <c r="T72" s="1"/>
      <c r="U72" s="118" t="n">
        <v>350</v>
      </c>
      <c r="V72" s="119" t="n">
        <f aca="false">(G72-F72)/I72</f>
        <v>0</v>
      </c>
      <c r="W72" s="119"/>
      <c r="X72" s="120" t="e">
        <f aca="false">(K72-K56)/(L72-M72)</f>
        <v>#DIV/0!</v>
      </c>
      <c r="Y72" s="121"/>
      <c r="AA72" s="1"/>
      <c r="AB72" s="1"/>
      <c r="AC72" s="1"/>
      <c r="AD72" s="1"/>
      <c r="AE72" s="1"/>
      <c r="AF72" s="1"/>
      <c r="AG72" s="1"/>
      <c r="AH72" s="1"/>
    </row>
    <row r="73" customFormat="false" ht="13.5" hidden="false" customHeight="true" outlineLevel="0" collapsed="false">
      <c r="A73" s="81" t="n">
        <v>54</v>
      </c>
      <c r="B73" s="101" t="s">
        <v>64</v>
      </c>
      <c r="C73" s="101" t="s">
        <v>129</v>
      </c>
      <c r="D73" s="101"/>
      <c r="E73" s="31" t="n">
        <v>114</v>
      </c>
      <c r="F73" s="39"/>
      <c r="G73" s="39"/>
      <c r="H73" s="39" t="n">
        <f aca="false">H72</f>
        <v>4660</v>
      </c>
      <c r="I73" s="102" t="n">
        <v>1</v>
      </c>
      <c r="J73" s="95" t="n">
        <f aca="false">IF(I73&lt;&gt;"",J72+I73/24,"")</f>
        <v>45523.2708333333</v>
      </c>
      <c r="K73" s="46"/>
      <c r="L73" s="46"/>
      <c r="M73" s="46"/>
      <c r="N73" s="89" t="str">
        <f aca="false">IF(L73="","",L73-I73)</f>
        <v/>
      </c>
      <c r="O73" s="95" t="n">
        <f aca="false">IF(L73&lt;&gt;"",O72+L73/24,O72+I73/24)</f>
        <v>45514.0208333333</v>
      </c>
      <c r="P73" s="100"/>
      <c r="Q73" s="115" t="n">
        <f aca="false">Q72</f>
        <v>4660</v>
      </c>
      <c r="R73" s="98" t="n">
        <v>1</v>
      </c>
      <c r="S73" s="99"/>
      <c r="T73" s="1"/>
      <c r="U73" s="118"/>
      <c r="V73" s="119"/>
      <c r="W73" s="119"/>
      <c r="X73" s="120"/>
      <c r="Y73" s="121"/>
      <c r="AA73" s="1"/>
      <c r="AB73" s="1"/>
      <c r="AC73" s="1"/>
      <c r="AD73" s="1"/>
      <c r="AE73" s="1"/>
      <c r="AF73" s="1"/>
      <c r="AG73" s="1"/>
      <c r="AH73" s="1"/>
    </row>
    <row r="74" customFormat="false" ht="13.5" hidden="false" customHeight="true" outlineLevel="0" collapsed="false">
      <c r="A74" s="26" t="n">
        <v>55</v>
      </c>
      <c r="B74" s="101" t="s">
        <v>64</v>
      </c>
      <c r="C74" s="101" t="s">
        <v>130</v>
      </c>
      <c r="D74" s="101"/>
      <c r="E74" s="31" t="n">
        <v>114</v>
      </c>
      <c r="F74" s="39"/>
      <c r="G74" s="39"/>
      <c r="H74" s="39" t="n">
        <f aca="false">H73</f>
        <v>4660</v>
      </c>
      <c r="I74" s="102" t="n">
        <v>12</v>
      </c>
      <c r="J74" s="95" t="n">
        <f aca="false">IF(I74&lt;&gt;"",J73+I74/24,"")</f>
        <v>45523.7708333333</v>
      </c>
      <c r="K74" s="46"/>
      <c r="L74" s="46"/>
      <c r="M74" s="46"/>
      <c r="N74" s="89" t="str">
        <f aca="false">IF(L74="","",L74-I74)</f>
        <v/>
      </c>
      <c r="O74" s="95" t="n">
        <f aca="false">IF(L74&lt;&gt;"",O73+L74/24,O73+I74/24)</f>
        <v>45514.5208333333</v>
      </c>
      <c r="P74" s="100"/>
      <c r="Q74" s="115" t="n">
        <f aca="false">Q73</f>
        <v>4660</v>
      </c>
      <c r="R74" s="98" t="n">
        <v>12</v>
      </c>
      <c r="S74" s="99"/>
      <c r="T74" s="1"/>
      <c r="U74" s="118"/>
      <c r="V74" s="119"/>
      <c r="W74" s="119"/>
      <c r="X74" s="120"/>
      <c r="Y74" s="121"/>
      <c r="AA74" s="1"/>
      <c r="AB74" s="1"/>
      <c r="AC74" s="1"/>
      <c r="AD74" s="1"/>
      <c r="AE74" s="1"/>
      <c r="AF74" s="1"/>
      <c r="AG74" s="1"/>
      <c r="AH74" s="1"/>
    </row>
    <row r="75" customFormat="false" ht="13.5" hidden="false" customHeight="true" outlineLevel="0" collapsed="false">
      <c r="A75" s="81" t="n">
        <v>56</v>
      </c>
      <c r="B75" s="101" t="s">
        <v>64</v>
      </c>
      <c r="C75" s="101" t="s">
        <v>131</v>
      </c>
      <c r="D75" s="101"/>
      <c r="E75" s="31" t="n">
        <v>114</v>
      </c>
      <c r="F75" s="39"/>
      <c r="G75" s="39"/>
      <c r="H75" s="39" t="n">
        <f aca="false">H74</f>
        <v>4660</v>
      </c>
      <c r="I75" s="102" t="n">
        <v>12</v>
      </c>
      <c r="J75" s="95" t="n">
        <f aca="false">IF(I75&lt;&gt;"",J74+I75/24,"")</f>
        <v>45524.2708333333</v>
      </c>
      <c r="K75" s="46"/>
      <c r="L75" s="46"/>
      <c r="M75" s="46"/>
      <c r="N75" s="89" t="str">
        <f aca="false">IF(L75="","",L75-I75)</f>
        <v/>
      </c>
      <c r="O75" s="95" t="n">
        <f aca="false">IF(L75&lt;&gt;"",O74+L75/24,O74+I75/24)</f>
        <v>45515.0208333333</v>
      </c>
      <c r="P75" s="100"/>
      <c r="Q75" s="115" t="n">
        <f aca="false">Q74</f>
        <v>4660</v>
      </c>
      <c r="R75" s="98" t="n">
        <v>12</v>
      </c>
      <c r="S75" s="99"/>
      <c r="T75" s="1"/>
      <c r="U75" s="118"/>
      <c r="V75" s="119"/>
      <c r="W75" s="119"/>
      <c r="X75" s="120"/>
      <c r="Y75" s="121"/>
      <c r="AA75" s="1"/>
      <c r="AB75" s="1"/>
      <c r="AC75" s="1"/>
      <c r="AD75" s="1"/>
      <c r="AE75" s="1"/>
      <c r="AF75" s="1"/>
      <c r="AG75" s="1"/>
      <c r="AH75" s="1"/>
    </row>
    <row r="76" s="14" customFormat="true" ht="17.25" hidden="false" customHeight="true" outlineLevel="0" collapsed="false">
      <c r="A76" s="26" t="n">
        <v>57</v>
      </c>
      <c r="B76" s="93" t="s">
        <v>66</v>
      </c>
      <c r="C76" s="93" t="s">
        <v>96</v>
      </c>
      <c r="D76" s="93"/>
      <c r="E76" s="31" t="n">
        <v>114</v>
      </c>
      <c r="F76" s="114"/>
      <c r="G76" s="114"/>
      <c r="H76" s="39" t="n">
        <f aca="false">H75</f>
        <v>4660</v>
      </c>
      <c r="I76" s="102" t="n">
        <v>2</v>
      </c>
      <c r="J76" s="95" t="n">
        <f aca="false">IF(I76&lt;&gt;"",J75+I76/24,"")</f>
        <v>45524.3541666667</v>
      </c>
      <c r="K76" s="46"/>
      <c r="L76" s="46"/>
      <c r="M76" s="46"/>
      <c r="N76" s="89" t="str">
        <f aca="false">IF(L76="","",L76-I76)</f>
        <v/>
      </c>
      <c r="O76" s="95" t="n">
        <f aca="false">IF(L76&lt;&gt;"",O75+L76/24,O75+I76/24)</f>
        <v>45515.1041666667</v>
      </c>
      <c r="P76" s="100"/>
      <c r="Q76" s="115" t="n">
        <f aca="false">Q75</f>
        <v>4660</v>
      </c>
      <c r="R76" s="98" t="n">
        <v>2</v>
      </c>
      <c r="S76" s="99"/>
      <c r="T76" s="108"/>
      <c r="U76" s="109"/>
      <c r="V76" s="110"/>
      <c r="W76" s="110"/>
      <c r="X76" s="111"/>
      <c r="Y76" s="112"/>
      <c r="AA76" s="108"/>
      <c r="AB76" s="108"/>
      <c r="AC76" s="108"/>
      <c r="AD76" s="108"/>
      <c r="AE76" s="108"/>
      <c r="AF76" s="108"/>
      <c r="AG76" s="108"/>
      <c r="AH76" s="108"/>
    </row>
    <row r="77" s="14" customFormat="true" ht="62.25" hidden="false" customHeight="true" outlineLevel="0" collapsed="false">
      <c r="A77" s="81" t="n">
        <v>58</v>
      </c>
      <c r="B77" s="93" t="s">
        <v>64</v>
      </c>
      <c r="C77" s="93" t="s">
        <v>132</v>
      </c>
      <c r="D77" s="93"/>
      <c r="E77" s="31" t="n">
        <v>114</v>
      </c>
      <c r="F77" s="114"/>
      <c r="G77" s="114"/>
      <c r="H77" s="39" t="n">
        <f aca="false">H76</f>
        <v>4660</v>
      </c>
      <c r="I77" s="102" t="n">
        <v>6</v>
      </c>
      <c r="J77" s="95" t="n">
        <f aca="false">IF(I77&lt;&gt;"",J76+I77/24,"")</f>
        <v>45524.6041666667</v>
      </c>
      <c r="K77" s="46"/>
      <c r="L77" s="46"/>
      <c r="M77" s="46"/>
      <c r="N77" s="89" t="str">
        <f aca="false">IF(L77="","",L77-I77)</f>
        <v/>
      </c>
      <c r="O77" s="95" t="n">
        <f aca="false">IF(L77&lt;&gt;"",O76+L77/24,O76+I77/24)</f>
        <v>45515.3541666667</v>
      </c>
      <c r="P77" s="100"/>
      <c r="Q77" s="115" t="n">
        <f aca="false">Q76</f>
        <v>4660</v>
      </c>
      <c r="R77" s="98" t="n">
        <v>6</v>
      </c>
      <c r="S77" s="99"/>
      <c r="T77" s="108"/>
      <c r="U77" s="109"/>
      <c r="V77" s="110"/>
      <c r="W77" s="110"/>
      <c r="X77" s="111"/>
      <c r="Y77" s="112"/>
      <c r="AA77" s="108"/>
      <c r="AB77" s="108"/>
      <c r="AC77" s="108"/>
      <c r="AD77" s="108"/>
      <c r="AE77" s="108"/>
      <c r="AF77" s="108"/>
      <c r="AG77" s="108"/>
      <c r="AH77" s="108"/>
    </row>
    <row r="78" customFormat="false" ht="13.5" hidden="false" customHeight="true" outlineLevel="0" collapsed="false">
      <c r="A78" s="26" t="n">
        <v>59</v>
      </c>
      <c r="B78" s="101" t="s">
        <v>64</v>
      </c>
      <c r="C78" s="101" t="s">
        <v>133</v>
      </c>
      <c r="D78" s="101"/>
      <c r="E78" s="31" t="n">
        <v>114</v>
      </c>
      <c r="F78" s="39"/>
      <c r="G78" s="39"/>
      <c r="H78" s="39" t="n">
        <f aca="false">H77</f>
        <v>4660</v>
      </c>
      <c r="I78" s="102" t="n">
        <v>3</v>
      </c>
      <c r="J78" s="95" t="n">
        <f aca="false">IF(I78&lt;&gt;"",J77+I78/24,"")</f>
        <v>45524.7291666667</v>
      </c>
      <c r="K78" s="46"/>
      <c r="L78" s="46"/>
      <c r="M78" s="46"/>
      <c r="N78" s="89" t="str">
        <f aca="false">IF(L78="","",L78-I78)</f>
        <v/>
      </c>
      <c r="O78" s="95" t="n">
        <f aca="false">IF(L78&lt;&gt;"",O77+L78/24,O77+I78/24)</f>
        <v>45515.4791666667</v>
      </c>
      <c r="P78" s="100"/>
      <c r="Q78" s="115" t="n">
        <f aca="false">Q77</f>
        <v>4660</v>
      </c>
      <c r="R78" s="98" t="n">
        <v>3</v>
      </c>
      <c r="S78" s="99"/>
      <c r="T78" s="1"/>
      <c r="U78" s="118"/>
      <c r="V78" s="119"/>
      <c r="W78" s="119"/>
      <c r="X78" s="120"/>
      <c r="Y78" s="121"/>
      <c r="AA78" s="1"/>
      <c r="AB78" s="1"/>
      <c r="AC78" s="1"/>
      <c r="AD78" s="1"/>
      <c r="AE78" s="1"/>
      <c r="AF78" s="1"/>
      <c r="AG78" s="1"/>
      <c r="AH78" s="1"/>
    </row>
    <row r="79" s="14" customFormat="true" ht="13.5" hidden="false" customHeight="true" outlineLevel="0" collapsed="false">
      <c r="A79" s="81" t="n">
        <v>60</v>
      </c>
      <c r="B79" s="93" t="s">
        <v>74</v>
      </c>
      <c r="C79" s="93" t="s">
        <v>134</v>
      </c>
      <c r="D79" s="93"/>
      <c r="E79" s="31" t="n">
        <v>114</v>
      </c>
      <c r="F79" s="114"/>
      <c r="G79" s="114"/>
      <c r="H79" s="39" t="n">
        <f aca="false">H78</f>
        <v>4660</v>
      </c>
      <c r="I79" s="102" t="n">
        <v>10</v>
      </c>
      <c r="J79" s="95" t="n">
        <f aca="false">IF(I79&lt;&gt;"",J78+I79/24,"")</f>
        <v>45525.1458333333</v>
      </c>
      <c r="K79" s="46"/>
      <c r="L79" s="46"/>
      <c r="M79" s="46"/>
      <c r="N79" s="89" t="str">
        <f aca="false">IF(L79="","",L79-I79)</f>
        <v/>
      </c>
      <c r="O79" s="95" t="n">
        <f aca="false">IF(L79&lt;&gt;"",O78+L79/24,O78+I79/24)</f>
        <v>45515.8958333333</v>
      </c>
      <c r="P79" s="100"/>
      <c r="Q79" s="115" t="n">
        <f aca="false">Q78</f>
        <v>4660</v>
      </c>
      <c r="R79" s="98" t="n">
        <v>10</v>
      </c>
      <c r="S79" s="99"/>
      <c r="T79" s="108"/>
      <c r="U79" s="109"/>
      <c r="V79" s="110"/>
      <c r="W79" s="110"/>
      <c r="X79" s="111"/>
      <c r="Y79" s="112"/>
      <c r="AA79" s="108"/>
      <c r="AB79" s="108"/>
      <c r="AC79" s="108"/>
      <c r="AD79" s="108"/>
      <c r="AE79" s="108"/>
      <c r="AF79" s="108"/>
      <c r="AG79" s="108"/>
      <c r="AH79" s="108"/>
    </row>
    <row r="80" customFormat="false" ht="13.5" hidden="false" customHeight="true" outlineLevel="0" collapsed="false">
      <c r="A80" s="26" t="n">
        <v>61</v>
      </c>
      <c r="B80" s="101" t="s">
        <v>71</v>
      </c>
      <c r="C80" s="101" t="s">
        <v>135</v>
      </c>
      <c r="D80" s="101"/>
      <c r="E80" s="31" t="n">
        <v>114</v>
      </c>
      <c r="F80" s="39"/>
      <c r="G80" s="39"/>
      <c r="H80" s="39" t="n">
        <f aca="false">H79</f>
        <v>4660</v>
      </c>
      <c r="I80" s="55" t="n">
        <v>4</v>
      </c>
      <c r="J80" s="95" t="n">
        <f aca="false">IF(I80&lt;&gt;"",J79+I80/24,"")</f>
        <v>45525.3125</v>
      </c>
      <c r="K80" s="46"/>
      <c r="L80" s="46"/>
      <c r="M80" s="46"/>
      <c r="N80" s="89" t="str">
        <f aca="false">IF(L80="","",L80-I80)</f>
        <v/>
      </c>
      <c r="O80" s="95" t="n">
        <f aca="false">IF(L80&lt;&gt;"",O79+L80/24,O79+I80/24)</f>
        <v>45516.0625</v>
      </c>
      <c r="P80" s="100"/>
      <c r="Q80" s="115" t="n">
        <f aca="false">Q79</f>
        <v>4660</v>
      </c>
      <c r="R80" s="98" t="n">
        <v>4</v>
      </c>
      <c r="S80" s="99"/>
      <c r="T80" s="1"/>
      <c r="U80" s="118"/>
      <c r="V80" s="119"/>
      <c r="W80" s="119"/>
      <c r="X80" s="120"/>
      <c r="Y80" s="121"/>
      <c r="AA80" s="1"/>
      <c r="AB80" s="1"/>
      <c r="AC80" s="1"/>
      <c r="AD80" s="1"/>
      <c r="AE80" s="1"/>
      <c r="AF80" s="1"/>
      <c r="AG80" s="1"/>
      <c r="AH80" s="1"/>
    </row>
    <row r="81" customFormat="false" ht="13.5" hidden="false" customHeight="true" outlineLevel="0" collapsed="false">
      <c r="A81" s="81" t="n">
        <v>62</v>
      </c>
      <c r="B81" s="94" t="s">
        <v>74</v>
      </c>
      <c r="C81" s="94" t="s">
        <v>136</v>
      </c>
      <c r="D81" s="94"/>
      <c r="E81" s="31" t="n">
        <v>114</v>
      </c>
      <c r="F81" s="39"/>
      <c r="G81" s="39"/>
      <c r="H81" s="39" t="n">
        <f aca="false">H80</f>
        <v>4660</v>
      </c>
      <c r="I81" s="55" t="n">
        <v>24</v>
      </c>
      <c r="J81" s="95" t="n">
        <f aca="false">IF(I81&lt;&gt;"",J80+I81/24,"")</f>
        <v>45526.3125</v>
      </c>
      <c r="K81" s="46"/>
      <c r="L81" s="46"/>
      <c r="M81" s="46"/>
      <c r="N81" s="89" t="str">
        <f aca="false">IF(L81="","",L81-I81)</f>
        <v/>
      </c>
      <c r="O81" s="95" t="n">
        <f aca="false">IF(L81&lt;&gt;"",O80+L81/24,O80+I81/24)</f>
        <v>45517.0625</v>
      </c>
      <c r="P81" s="100"/>
      <c r="Q81" s="115" t="n">
        <f aca="false">Q80</f>
        <v>4660</v>
      </c>
      <c r="R81" s="98" t="n">
        <v>24</v>
      </c>
      <c r="S81" s="99"/>
      <c r="T81" s="1"/>
      <c r="U81" s="118"/>
      <c r="V81" s="119"/>
      <c r="W81" s="119"/>
      <c r="X81" s="120"/>
      <c r="Y81" s="121"/>
      <c r="AA81" s="1"/>
      <c r="AB81" s="1"/>
      <c r="AC81" s="1"/>
      <c r="AD81" s="1"/>
      <c r="AE81" s="1"/>
      <c r="AF81" s="1"/>
      <c r="AG81" s="1"/>
      <c r="AH81" s="1"/>
    </row>
    <row r="82" customFormat="false" ht="13.5" hidden="false" customHeight="true" outlineLevel="0" collapsed="false">
      <c r="A82" s="26" t="n">
        <v>63</v>
      </c>
      <c r="B82" s="101" t="s">
        <v>137</v>
      </c>
      <c r="C82" s="101" t="s">
        <v>138</v>
      </c>
      <c r="D82" s="101"/>
      <c r="E82" s="31" t="n">
        <v>114</v>
      </c>
      <c r="F82" s="39"/>
      <c r="G82" s="39"/>
      <c r="H82" s="39" t="n">
        <f aca="false">H81</f>
        <v>4660</v>
      </c>
      <c r="I82" s="55" t="n">
        <v>3</v>
      </c>
      <c r="J82" s="95" t="n">
        <f aca="false">IF(I82&lt;&gt;"",J81+I82/24,"")</f>
        <v>45526.4375</v>
      </c>
      <c r="K82" s="46"/>
      <c r="L82" s="46"/>
      <c r="M82" s="46"/>
      <c r="N82" s="89" t="str">
        <f aca="false">IF(L82="","",L82-I82)</f>
        <v/>
      </c>
      <c r="O82" s="95" t="n">
        <f aca="false">IF(L82&lt;&gt;"",O81+L82/24,O81+I82/24)</f>
        <v>45517.1875</v>
      </c>
      <c r="P82" s="100"/>
      <c r="Q82" s="115" t="n">
        <f aca="false">Q81</f>
        <v>4660</v>
      </c>
      <c r="R82" s="98" t="n">
        <v>3</v>
      </c>
      <c r="S82" s="99"/>
      <c r="T82" s="1"/>
      <c r="U82" s="118"/>
      <c r="V82" s="119"/>
      <c r="W82" s="119"/>
      <c r="X82" s="120"/>
      <c r="Y82" s="121"/>
      <c r="AA82" s="1"/>
      <c r="AB82" s="1"/>
      <c r="AC82" s="1"/>
      <c r="AD82" s="1"/>
      <c r="AE82" s="1"/>
      <c r="AF82" s="1"/>
      <c r="AG82" s="1"/>
      <c r="AH82" s="1"/>
    </row>
    <row r="83" customFormat="false" ht="14.25" hidden="false" customHeight="true" outlineLevel="0" collapsed="false">
      <c r="A83" s="75"/>
      <c r="B83" s="147" t="s">
        <v>139</v>
      </c>
      <c r="C83" s="148" t="s">
        <v>140</v>
      </c>
      <c r="D83" s="148"/>
      <c r="E83" s="76"/>
      <c r="F83" s="149"/>
      <c r="G83" s="149"/>
      <c r="H83" s="150"/>
      <c r="I83" s="151" t="n">
        <f aca="false">SUM(I20:I82)*0.05</f>
        <v>32.175</v>
      </c>
      <c r="J83" s="152" t="n">
        <f aca="false">IF(I83&lt;&gt;"",J82+I83/24,"")</f>
        <v>45527.778125</v>
      </c>
      <c r="K83" s="153"/>
      <c r="L83" s="153"/>
      <c r="M83" s="153"/>
      <c r="N83" s="153" t="str">
        <f aca="false">IF(L83="","",L83-I83)</f>
        <v/>
      </c>
      <c r="O83" s="152" t="n">
        <f aca="false">IF(L83&lt;&gt;"",O82+L83/24,O82+I83/24)</f>
        <v>45518.528125</v>
      </c>
      <c r="P83" s="154"/>
      <c r="Q83" s="155"/>
      <c r="R83" s="151" t="n">
        <f aca="false">SUM(R20:R82)*0.05</f>
        <v>32.175</v>
      </c>
      <c r="S83" s="156"/>
      <c r="T83" s="1"/>
      <c r="U83" s="118"/>
      <c r="V83" s="119"/>
      <c r="W83" s="119"/>
      <c r="X83" s="120"/>
      <c r="Y83" s="121"/>
      <c r="AA83" s="1"/>
      <c r="AB83" s="1"/>
      <c r="AC83" s="1"/>
      <c r="AD83" s="1"/>
      <c r="AE83" s="1"/>
      <c r="AF83" s="1"/>
      <c r="AG83" s="1"/>
      <c r="AH83" s="1"/>
    </row>
    <row r="84" customFormat="false" ht="25.5" hidden="false" customHeight="true" outlineLevel="0" collapsed="false">
      <c r="A84" s="81"/>
      <c r="B84" s="141"/>
      <c r="C84" s="157" t="s">
        <v>141</v>
      </c>
      <c r="D84" s="157"/>
      <c r="E84" s="158"/>
      <c r="F84" s="158"/>
      <c r="G84" s="158"/>
      <c r="H84" s="159"/>
      <c r="I84" s="160" t="n">
        <f aca="false">SUM(I20:I83)/24</f>
        <v>28.153125</v>
      </c>
      <c r="J84" s="161"/>
      <c r="K84" s="158"/>
      <c r="L84" s="160" t="n">
        <f aca="false">SUM(L20:L82)/24</f>
        <v>11.625</v>
      </c>
      <c r="M84" s="160" t="n">
        <f aca="false">SUM(M20:M82)/24</f>
        <v>0.604166666666667</v>
      </c>
      <c r="N84" s="162" t="n">
        <f aca="false">SUM(N20:N82)/24</f>
        <v>-9.25</v>
      </c>
      <c r="O84" s="163" t="n">
        <f aca="false">O82</f>
        <v>45517.1875</v>
      </c>
      <c r="P84" s="158"/>
      <c r="Q84" s="158"/>
      <c r="R84" s="160" t="n">
        <f aca="false">SUM(R20:R83)/24</f>
        <v>28.153125</v>
      </c>
      <c r="S84" s="164"/>
      <c r="T84" s="1"/>
      <c r="U84" s="118"/>
      <c r="V84" s="119"/>
      <c r="W84" s="119"/>
      <c r="X84" s="120"/>
      <c r="Y84" s="118"/>
      <c r="Z84" s="1"/>
      <c r="AA84" s="1"/>
      <c r="AB84" s="1"/>
      <c r="AC84" s="1"/>
      <c r="AD84" s="1"/>
      <c r="AE84" s="1"/>
      <c r="AF84" s="1"/>
      <c r="AG84" s="1"/>
      <c r="AH84" s="1"/>
    </row>
    <row r="85" customFormat="false" ht="13.5" hidden="false" customHeight="false" outlineLevel="0" collapsed="false">
      <c r="A85" s="165"/>
      <c r="B85" s="166"/>
      <c r="C85" s="166"/>
      <c r="D85" s="166"/>
      <c r="E85" s="166"/>
      <c r="F85" s="166"/>
      <c r="G85" s="166"/>
      <c r="H85" s="166"/>
      <c r="I85" s="167"/>
      <c r="J85" s="167"/>
      <c r="K85" s="167"/>
      <c r="L85" s="167"/>
      <c r="M85" s="167"/>
      <c r="N85" s="167"/>
      <c r="O85" s="167"/>
      <c r="P85" s="167"/>
      <c r="Q85" s="167"/>
      <c r="R85" s="167"/>
      <c r="S85" s="168"/>
      <c r="T85" s="1"/>
      <c r="U85" s="118"/>
      <c r="V85" s="119"/>
      <c r="W85" s="119"/>
      <c r="X85" s="120"/>
      <c r="Y85" s="118"/>
      <c r="Z85" s="1"/>
      <c r="AA85" s="1"/>
      <c r="AB85" s="1"/>
      <c r="AC85" s="1"/>
      <c r="AD85" s="1"/>
      <c r="AE85" s="1"/>
      <c r="AF85" s="1"/>
      <c r="AG85" s="1"/>
      <c r="AH85" s="1"/>
    </row>
    <row r="86" customFormat="false" ht="13.5" hidden="false" customHeight="false" outlineLevel="0" collapsed="false">
      <c r="F86" s="169"/>
      <c r="G86" s="169"/>
      <c r="H86" s="169"/>
      <c r="U86" s="121"/>
      <c r="V86" s="170"/>
      <c r="W86" s="170"/>
      <c r="X86" s="127"/>
      <c r="Y86" s="121"/>
    </row>
    <row r="87" customFormat="false" ht="13.5" hidden="false" customHeight="false" outlineLevel="0" collapsed="false">
      <c r="F87" s="169"/>
      <c r="G87" s="169"/>
      <c r="H87" s="169"/>
      <c r="I87" s="121"/>
      <c r="J87" s="121"/>
      <c r="U87" s="121"/>
      <c r="V87" s="170"/>
      <c r="W87" s="170"/>
      <c r="X87" s="127"/>
      <c r="Y87" s="121"/>
    </row>
    <row r="88" customFormat="false" ht="13.5" hidden="false" customHeight="false" outlineLevel="0" collapsed="false">
      <c r="F88" s="169"/>
      <c r="G88" s="169"/>
      <c r="H88" s="169"/>
      <c r="I88" s="121"/>
      <c r="J88" s="121"/>
      <c r="U88" s="121"/>
      <c r="V88" s="170"/>
      <c r="W88" s="170"/>
      <c r="X88" s="127"/>
      <c r="Y88" s="121"/>
    </row>
    <row r="89" customFormat="false" ht="13.5" hidden="false" customHeight="false" outlineLevel="0" collapsed="false">
      <c r="F89" s="169"/>
      <c r="G89" s="169"/>
      <c r="H89" s="169"/>
      <c r="U89" s="121"/>
      <c r="V89" s="170"/>
      <c r="W89" s="170"/>
      <c r="X89" s="127"/>
      <c r="Y89" s="121"/>
    </row>
    <row r="90" customFormat="false" ht="13.5" hidden="false" customHeight="false" outlineLevel="0" collapsed="false">
      <c r="U90" s="121"/>
      <c r="V90" s="170"/>
      <c r="W90" s="170"/>
      <c r="X90" s="127"/>
      <c r="Y90" s="121"/>
    </row>
    <row r="91" customFormat="false" ht="13.5" hidden="false" customHeight="false" outlineLevel="0" collapsed="false">
      <c r="U91" s="121"/>
      <c r="V91" s="170"/>
      <c r="W91" s="170"/>
      <c r="X91" s="127"/>
      <c r="Y91" s="121"/>
    </row>
    <row r="92" customFormat="false" ht="13.5" hidden="false" customHeight="false" outlineLevel="0" collapsed="false">
      <c r="S92" s="2" t="s">
        <v>142</v>
      </c>
      <c r="U92" s="121"/>
      <c r="V92" s="170"/>
      <c r="W92" s="170"/>
      <c r="X92" s="127"/>
      <c r="Y92" s="121"/>
    </row>
    <row r="93" customFormat="false" ht="13.5" hidden="false" customHeight="false" outlineLevel="0" collapsed="false">
      <c r="K93" s="171"/>
      <c r="U93" s="121"/>
      <c r="V93" s="170"/>
      <c r="W93" s="170"/>
      <c r="X93" s="127"/>
      <c r="Y93" s="121"/>
    </row>
    <row r="94" customFormat="false" ht="13.5" hidden="false" customHeight="false" outlineLevel="0" collapsed="false">
      <c r="U94" s="121"/>
      <c r="V94" s="170"/>
      <c r="W94" s="170"/>
      <c r="X94" s="127"/>
      <c r="Y94" s="121"/>
    </row>
    <row r="95" customFormat="false" ht="13.5" hidden="false" customHeight="false" outlineLevel="0" collapsed="false">
      <c r="U95" s="121"/>
      <c r="V95" s="170"/>
      <c r="W95" s="170"/>
      <c r="X95" s="127"/>
      <c r="Y95" s="121"/>
    </row>
    <row r="96" customFormat="false" ht="13.5" hidden="false" customHeight="false" outlineLevel="0" collapsed="false">
      <c r="U96" s="121"/>
      <c r="V96" s="170"/>
      <c r="W96" s="170"/>
      <c r="X96" s="127"/>
      <c r="Y96" s="121"/>
    </row>
    <row r="97" customFormat="false" ht="13.5" hidden="false" customHeight="false" outlineLevel="0" collapsed="false">
      <c r="U97" s="121"/>
      <c r="V97" s="170"/>
      <c r="W97" s="170"/>
      <c r="X97" s="127"/>
      <c r="Y97" s="121"/>
    </row>
    <row r="98" customFormat="false" ht="13.5" hidden="false" customHeight="false" outlineLevel="0" collapsed="false">
      <c r="U98" s="121"/>
      <c r="V98" s="170"/>
      <c r="W98" s="170"/>
      <c r="X98" s="127"/>
      <c r="Y98" s="121"/>
    </row>
    <row r="99" customFormat="false" ht="13.5" hidden="false" customHeight="false" outlineLevel="0" collapsed="false">
      <c r="U99" s="121"/>
      <c r="V99" s="170"/>
      <c r="W99" s="170"/>
      <c r="X99" s="127"/>
      <c r="Y99" s="121"/>
    </row>
    <row r="100" customFormat="false" ht="13.5" hidden="false" customHeight="false" outlineLevel="0" collapsed="false">
      <c r="U100" s="121"/>
      <c r="V100" s="170"/>
      <c r="W100" s="170"/>
      <c r="X100" s="127"/>
      <c r="Y100" s="121"/>
    </row>
    <row r="101" customFormat="false" ht="13.5" hidden="false" customHeight="false" outlineLevel="0" collapsed="false">
      <c r="U101" s="121"/>
      <c r="V101" s="170"/>
      <c r="W101" s="170"/>
      <c r="X101" s="127"/>
      <c r="Y101" s="121"/>
    </row>
    <row r="102" customFormat="false" ht="13.5" hidden="false" customHeight="false" outlineLevel="0" collapsed="false">
      <c r="U102" s="121"/>
      <c r="V102" s="170"/>
      <c r="W102" s="170"/>
      <c r="X102" s="127"/>
      <c r="Y102" s="121"/>
    </row>
    <row r="103" customFormat="false" ht="13.5" hidden="false" customHeight="false" outlineLevel="0" collapsed="false">
      <c r="U103" s="121"/>
      <c r="V103" s="170"/>
      <c r="W103" s="170"/>
      <c r="X103" s="127"/>
      <c r="Y103" s="121"/>
    </row>
    <row r="104" customFormat="false" ht="13.5" hidden="false" customHeight="false" outlineLevel="0" collapsed="false">
      <c r="U104" s="121"/>
      <c r="V104" s="170"/>
      <c r="W104" s="170"/>
      <c r="X104" s="127"/>
      <c r="Y104" s="121"/>
    </row>
    <row r="105" customFormat="false" ht="13.5" hidden="false" customHeight="false" outlineLevel="0" collapsed="false">
      <c r="U105" s="121"/>
      <c r="V105" s="170"/>
      <c r="W105" s="170"/>
      <c r="X105" s="127"/>
      <c r="Y105" s="121"/>
    </row>
    <row r="106" customFormat="false" ht="13.5" hidden="false" customHeight="false" outlineLevel="0" collapsed="false">
      <c r="U106" s="121"/>
      <c r="V106" s="170"/>
      <c r="W106" s="170"/>
      <c r="X106" s="127"/>
      <c r="Y106" s="121"/>
    </row>
    <row r="107" customFormat="false" ht="13.5" hidden="false" customHeight="false" outlineLevel="0" collapsed="false">
      <c r="U107" s="121"/>
      <c r="V107" s="170"/>
      <c r="W107" s="170"/>
      <c r="X107" s="127"/>
      <c r="Y107" s="121"/>
    </row>
    <row r="108" customFormat="false" ht="13.5" hidden="false" customHeight="false" outlineLevel="0" collapsed="false">
      <c r="U108" s="121"/>
      <c r="V108" s="170"/>
      <c r="W108" s="170"/>
      <c r="X108" s="127"/>
      <c r="Y108" s="121"/>
    </row>
    <row r="109" customFormat="false" ht="13.5" hidden="false" customHeight="false" outlineLevel="0" collapsed="false">
      <c r="U109" s="121"/>
      <c r="V109" s="170"/>
      <c r="W109" s="170"/>
      <c r="X109" s="127"/>
      <c r="Y109" s="121"/>
    </row>
    <row r="110" customFormat="false" ht="13.5" hidden="false" customHeight="false" outlineLevel="0" collapsed="false">
      <c r="U110" s="121"/>
      <c r="V110" s="170"/>
      <c r="W110" s="170"/>
      <c r="X110" s="127"/>
      <c r="Y110" s="121"/>
    </row>
    <row r="111" customFormat="false" ht="13.5" hidden="false" customHeight="false" outlineLevel="0" collapsed="false">
      <c r="U111" s="121"/>
      <c r="V111" s="170"/>
      <c r="W111" s="170"/>
      <c r="X111" s="127"/>
      <c r="Y111" s="121"/>
    </row>
    <row r="112" customFormat="false" ht="13.5" hidden="false" customHeight="false" outlineLevel="0" collapsed="false">
      <c r="U112" s="121"/>
      <c r="V112" s="170"/>
      <c r="W112" s="170"/>
      <c r="X112" s="127"/>
      <c r="Y112" s="121"/>
    </row>
    <row r="113" customFormat="false" ht="13.5" hidden="false" customHeight="false" outlineLevel="0" collapsed="false">
      <c r="U113" s="121"/>
      <c r="V113" s="170"/>
      <c r="W113" s="170"/>
      <c r="X113" s="127"/>
      <c r="Y113" s="121"/>
    </row>
    <row r="114" customFormat="false" ht="13.5" hidden="false" customHeight="false" outlineLevel="0" collapsed="false">
      <c r="U114" s="121"/>
      <c r="V114" s="170"/>
      <c r="W114" s="170"/>
      <c r="X114" s="127"/>
      <c r="Y114" s="121"/>
    </row>
    <row r="115" customFormat="false" ht="13.5" hidden="false" customHeight="false" outlineLevel="0" collapsed="false">
      <c r="U115" s="121"/>
      <c r="V115" s="170"/>
      <c r="W115" s="170"/>
      <c r="X115" s="127"/>
      <c r="Y115" s="121"/>
    </row>
    <row r="116" customFormat="false" ht="13.5" hidden="false" customHeight="false" outlineLevel="0" collapsed="false">
      <c r="U116" s="121"/>
      <c r="V116" s="170"/>
      <c r="W116" s="170"/>
      <c r="X116" s="127"/>
      <c r="Y116" s="121"/>
    </row>
    <row r="117" customFormat="false" ht="13.5" hidden="false" customHeight="false" outlineLevel="0" collapsed="false">
      <c r="U117" s="121"/>
      <c r="V117" s="170"/>
      <c r="W117" s="170"/>
      <c r="X117" s="127"/>
      <c r="Y117" s="121"/>
    </row>
    <row r="118" customFormat="false" ht="13.5" hidden="false" customHeight="false" outlineLevel="0" collapsed="false">
      <c r="U118" s="121"/>
      <c r="V118" s="170"/>
      <c r="W118" s="170"/>
      <c r="X118" s="127"/>
      <c r="Y118" s="121"/>
    </row>
    <row r="119" customFormat="false" ht="13.5" hidden="false" customHeight="false" outlineLevel="0" collapsed="false">
      <c r="U119" s="121"/>
      <c r="V119" s="170"/>
      <c r="W119" s="170"/>
      <c r="X119" s="127"/>
      <c r="Y119" s="121"/>
    </row>
    <row r="120" customFormat="false" ht="13.5" hidden="false" customHeight="false" outlineLevel="0" collapsed="false">
      <c r="U120" s="121"/>
      <c r="V120" s="170"/>
      <c r="W120" s="170"/>
      <c r="X120" s="127"/>
      <c r="Y120" s="121"/>
    </row>
    <row r="121" customFormat="false" ht="13.5" hidden="false" customHeight="false" outlineLevel="0" collapsed="false">
      <c r="U121" s="121"/>
      <c r="V121" s="170"/>
      <c r="W121" s="170"/>
      <c r="X121" s="127"/>
      <c r="Y121" s="121"/>
    </row>
    <row r="122" customFormat="false" ht="13.5" hidden="false" customHeight="false" outlineLevel="0" collapsed="false">
      <c r="U122" s="121"/>
      <c r="V122" s="170"/>
      <c r="W122" s="170"/>
      <c r="X122" s="127"/>
      <c r="Y122" s="121"/>
    </row>
    <row r="123" customFormat="false" ht="13.5" hidden="false" customHeight="false" outlineLevel="0" collapsed="false">
      <c r="U123" s="121"/>
      <c r="V123" s="170"/>
      <c r="W123" s="170"/>
      <c r="X123" s="127"/>
      <c r="Y123" s="121"/>
    </row>
    <row r="124" customFormat="false" ht="13.5" hidden="false" customHeight="false" outlineLevel="0" collapsed="false">
      <c r="U124" s="121"/>
      <c r="V124" s="170"/>
      <c r="W124" s="170"/>
      <c r="X124" s="127"/>
      <c r="Y124" s="121"/>
    </row>
    <row r="125" customFormat="false" ht="13.5" hidden="false" customHeight="false" outlineLevel="0" collapsed="false">
      <c r="U125" s="121"/>
      <c r="V125" s="170"/>
      <c r="W125" s="170"/>
      <c r="X125" s="127"/>
      <c r="Y125" s="121"/>
    </row>
    <row r="126" customFormat="false" ht="13.5" hidden="false" customHeight="false" outlineLevel="0" collapsed="false">
      <c r="U126" s="121"/>
      <c r="V126" s="170"/>
      <c r="W126" s="170"/>
      <c r="X126" s="127"/>
      <c r="Y126" s="121"/>
    </row>
    <row r="127" customFormat="false" ht="13.5" hidden="false" customHeight="false" outlineLevel="0" collapsed="false">
      <c r="U127" s="121"/>
      <c r="V127" s="170"/>
      <c r="W127" s="170"/>
      <c r="X127" s="127"/>
      <c r="Y127" s="121"/>
    </row>
    <row r="128" customFormat="false" ht="13.5" hidden="false" customHeight="false" outlineLevel="0" collapsed="false">
      <c r="U128" s="121"/>
      <c r="V128" s="170"/>
      <c r="W128" s="170"/>
      <c r="X128" s="127"/>
      <c r="Y128" s="121"/>
    </row>
    <row r="129" customFormat="false" ht="13.5" hidden="false" customHeight="false" outlineLevel="0" collapsed="false">
      <c r="U129" s="121"/>
      <c r="V129" s="170"/>
      <c r="W129" s="170"/>
      <c r="X129" s="127"/>
      <c r="Y129" s="121"/>
    </row>
    <row r="130" customFormat="false" ht="13.5" hidden="false" customHeight="false" outlineLevel="0" collapsed="false">
      <c r="U130" s="121"/>
      <c r="V130" s="170"/>
      <c r="W130" s="170"/>
      <c r="X130" s="127"/>
      <c r="Y130" s="121"/>
    </row>
    <row r="131" customFormat="false" ht="13.5" hidden="false" customHeight="false" outlineLevel="0" collapsed="false">
      <c r="U131" s="121"/>
      <c r="V131" s="170"/>
      <c r="W131" s="170"/>
      <c r="X131" s="127"/>
      <c r="Y131" s="121"/>
    </row>
    <row r="132" customFormat="false" ht="13.5" hidden="false" customHeight="false" outlineLevel="0" collapsed="false">
      <c r="U132" s="121"/>
      <c r="V132" s="170"/>
      <c r="W132" s="170"/>
      <c r="X132" s="127"/>
      <c r="Y132" s="121"/>
    </row>
    <row r="133" customFormat="false" ht="13.5" hidden="false" customHeight="false" outlineLevel="0" collapsed="false">
      <c r="U133" s="121"/>
      <c r="V133" s="170"/>
      <c r="W133" s="170"/>
      <c r="X133" s="127"/>
      <c r="Y133" s="121"/>
    </row>
    <row r="134" customFormat="false" ht="13.5" hidden="false" customHeight="false" outlineLevel="0" collapsed="false">
      <c r="U134" s="121"/>
      <c r="V134" s="170"/>
      <c r="W134" s="170"/>
      <c r="X134" s="127"/>
      <c r="Y134" s="121"/>
    </row>
    <row r="135" customFormat="false" ht="13.5" hidden="false" customHeight="false" outlineLevel="0" collapsed="false">
      <c r="U135" s="121"/>
      <c r="V135" s="170"/>
      <c r="W135" s="170"/>
      <c r="X135" s="127"/>
      <c r="Y135" s="121"/>
    </row>
    <row r="136" customFormat="false" ht="13.5" hidden="false" customHeight="false" outlineLevel="0" collapsed="false">
      <c r="U136" s="121"/>
      <c r="V136" s="170"/>
      <c r="W136" s="170"/>
      <c r="X136" s="127"/>
      <c r="Y136" s="121"/>
    </row>
    <row r="137" customFormat="false" ht="13.5" hidden="false" customHeight="false" outlineLevel="0" collapsed="false">
      <c r="U137" s="121"/>
      <c r="V137" s="170"/>
      <c r="W137" s="170"/>
      <c r="X137" s="127"/>
      <c r="Y137" s="121"/>
    </row>
    <row r="138" customFormat="false" ht="13.5" hidden="false" customHeight="false" outlineLevel="0" collapsed="false">
      <c r="U138" s="121"/>
      <c r="V138" s="170"/>
      <c r="W138" s="170"/>
      <c r="X138" s="127"/>
      <c r="Y138" s="121"/>
    </row>
    <row r="139" customFormat="false" ht="13.5" hidden="false" customHeight="false" outlineLevel="0" collapsed="false">
      <c r="U139" s="121"/>
      <c r="V139" s="170"/>
      <c r="W139" s="170"/>
      <c r="X139" s="127"/>
      <c r="Y139" s="121"/>
    </row>
    <row r="140" customFormat="false" ht="13.5" hidden="false" customHeight="false" outlineLevel="0" collapsed="false">
      <c r="U140" s="121"/>
      <c r="V140" s="170"/>
      <c r="W140" s="170"/>
      <c r="X140" s="127"/>
      <c r="Y140" s="121"/>
    </row>
    <row r="141" customFormat="false" ht="13.5" hidden="false" customHeight="false" outlineLevel="0" collapsed="false">
      <c r="U141" s="121"/>
      <c r="V141" s="170"/>
      <c r="W141" s="170"/>
      <c r="X141" s="127"/>
      <c r="Y141" s="121"/>
    </row>
    <row r="142" customFormat="false" ht="13.5" hidden="false" customHeight="false" outlineLevel="0" collapsed="false">
      <c r="U142" s="121"/>
      <c r="V142" s="170"/>
      <c r="W142" s="170"/>
      <c r="X142" s="127"/>
      <c r="Y142" s="121"/>
    </row>
    <row r="143" customFormat="false" ht="13.5" hidden="false" customHeight="false" outlineLevel="0" collapsed="false">
      <c r="U143" s="121"/>
      <c r="V143" s="170"/>
      <c r="W143" s="170"/>
      <c r="X143" s="127"/>
      <c r="Y143" s="121"/>
    </row>
    <row r="144" customFormat="false" ht="13.5" hidden="false" customHeight="false" outlineLevel="0" collapsed="false">
      <c r="U144" s="121"/>
      <c r="V144" s="170"/>
      <c r="W144" s="170"/>
      <c r="X144" s="127"/>
      <c r="Y144" s="121"/>
    </row>
    <row r="145" customFormat="false" ht="13.5" hidden="false" customHeight="false" outlineLevel="0" collapsed="false">
      <c r="U145" s="121"/>
      <c r="V145" s="170"/>
      <c r="W145" s="170"/>
      <c r="X145" s="127"/>
      <c r="Y145" s="121"/>
    </row>
    <row r="146" customFormat="false" ht="13.5" hidden="false" customHeight="false" outlineLevel="0" collapsed="false">
      <c r="U146" s="121"/>
      <c r="V146" s="170"/>
      <c r="W146" s="170"/>
      <c r="X146" s="127"/>
      <c r="Y146" s="121"/>
    </row>
    <row r="147" customFormat="false" ht="13.5" hidden="false" customHeight="false" outlineLevel="0" collapsed="false">
      <c r="U147" s="121"/>
      <c r="V147" s="170"/>
      <c r="W147" s="170"/>
      <c r="X147" s="127"/>
      <c r="Y147" s="121"/>
    </row>
    <row r="148" customFormat="false" ht="13.5" hidden="false" customHeight="false" outlineLevel="0" collapsed="false">
      <c r="U148" s="121"/>
      <c r="V148" s="170"/>
      <c r="W148" s="170"/>
      <c r="X148" s="127"/>
      <c r="Y148" s="121"/>
    </row>
    <row r="149" customFormat="false" ht="13.5" hidden="false" customHeight="false" outlineLevel="0" collapsed="false">
      <c r="U149" s="121"/>
      <c r="V149" s="170"/>
      <c r="W149" s="170"/>
      <c r="X149" s="127"/>
      <c r="Y149" s="121"/>
    </row>
    <row r="150" customFormat="false" ht="13.5" hidden="false" customHeight="false" outlineLevel="0" collapsed="false">
      <c r="U150" s="121"/>
      <c r="V150" s="170"/>
      <c r="W150" s="170"/>
      <c r="X150" s="127"/>
      <c r="Y150" s="121"/>
    </row>
    <row r="151" customFormat="false" ht="13.5" hidden="false" customHeight="false" outlineLevel="0" collapsed="false">
      <c r="U151" s="121"/>
      <c r="V151" s="170"/>
      <c r="W151" s="170"/>
      <c r="X151" s="127"/>
      <c r="Y151" s="121"/>
    </row>
    <row r="152" customFormat="false" ht="13.5" hidden="false" customHeight="false" outlineLevel="0" collapsed="false">
      <c r="U152" s="121"/>
      <c r="V152" s="170"/>
      <c r="W152" s="170"/>
      <c r="X152" s="127"/>
      <c r="Y152" s="121"/>
    </row>
    <row r="153" customFormat="false" ht="13.5" hidden="false" customHeight="false" outlineLevel="0" collapsed="false">
      <c r="U153" s="121"/>
      <c r="V153" s="170"/>
      <c r="W153" s="170"/>
      <c r="X153" s="127"/>
      <c r="Y153" s="121"/>
    </row>
    <row r="154" customFormat="false" ht="13.5" hidden="false" customHeight="false" outlineLevel="0" collapsed="false">
      <c r="U154" s="121"/>
      <c r="V154" s="170"/>
      <c r="W154" s="170"/>
      <c r="X154" s="127"/>
      <c r="Y154" s="121"/>
    </row>
    <row r="155" customFormat="false" ht="13.5" hidden="false" customHeight="false" outlineLevel="0" collapsed="false">
      <c r="U155" s="121"/>
      <c r="V155" s="170"/>
      <c r="W155" s="170"/>
      <c r="X155" s="127"/>
      <c r="Y155" s="121"/>
    </row>
    <row r="156" customFormat="false" ht="13.5" hidden="false" customHeight="false" outlineLevel="0" collapsed="false">
      <c r="U156" s="121"/>
      <c r="V156" s="170"/>
      <c r="W156" s="170"/>
      <c r="X156" s="127"/>
      <c r="Y156" s="121"/>
    </row>
    <row r="157" customFormat="false" ht="13.5" hidden="false" customHeight="false" outlineLevel="0" collapsed="false">
      <c r="U157" s="121"/>
      <c r="V157" s="170"/>
      <c r="W157" s="170"/>
      <c r="X157" s="127"/>
      <c r="Y157" s="121"/>
    </row>
    <row r="158" customFormat="false" ht="13.5" hidden="false" customHeight="false" outlineLevel="0" collapsed="false">
      <c r="U158" s="121"/>
      <c r="V158" s="170"/>
      <c r="W158" s="170"/>
      <c r="X158" s="127"/>
      <c r="Y158" s="121"/>
    </row>
    <row r="159" customFormat="false" ht="13.5" hidden="false" customHeight="false" outlineLevel="0" collapsed="false">
      <c r="U159" s="121"/>
      <c r="V159" s="170"/>
      <c r="W159" s="170"/>
      <c r="X159" s="127"/>
      <c r="Y159" s="121"/>
    </row>
    <row r="160" customFormat="false" ht="13.5" hidden="false" customHeight="false" outlineLevel="0" collapsed="false">
      <c r="U160" s="121"/>
      <c r="V160" s="170"/>
      <c r="W160" s="170"/>
      <c r="X160" s="127"/>
      <c r="Y160" s="121"/>
    </row>
    <row r="161" customFormat="false" ht="13.5" hidden="false" customHeight="false" outlineLevel="0" collapsed="false">
      <c r="U161" s="121"/>
      <c r="V161" s="170"/>
      <c r="W161" s="170"/>
      <c r="X161" s="127"/>
      <c r="Y161" s="121"/>
    </row>
    <row r="162" customFormat="false" ht="13.5" hidden="false" customHeight="false" outlineLevel="0" collapsed="false">
      <c r="U162" s="121"/>
      <c r="V162" s="170"/>
      <c r="W162" s="170"/>
      <c r="X162" s="127"/>
      <c r="Y162" s="121"/>
    </row>
    <row r="163" customFormat="false" ht="13.5" hidden="false" customHeight="false" outlineLevel="0" collapsed="false">
      <c r="U163" s="121"/>
      <c r="V163" s="170"/>
      <c r="W163" s="170"/>
      <c r="X163" s="127"/>
      <c r="Y163" s="121"/>
    </row>
    <row r="164" customFormat="false" ht="13.5" hidden="false" customHeight="false" outlineLevel="0" collapsed="false">
      <c r="U164" s="121"/>
      <c r="V164" s="170"/>
      <c r="W164" s="170"/>
      <c r="X164" s="127"/>
      <c r="Y164" s="121"/>
    </row>
    <row r="165" customFormat="false" ht="13.5" hidden="false" customHeight="false" outlineLevel="0" collapsed="false">
      <c r="U165" s="121"/>
      <c r="V165" s="170"/>
      <c r="W165" s="170"/>
      <c r="X165" s="127"/>
      <c r="Y165" s="121"/>
    </row>
    <row r="166" customFormat="false" ht="13.5" hidden="false" customHeight="false" outlineLevel="0" collapsed="false">
      <c r="U166" s="121"/>
      <c r="V166" s="170"/>
      <c r="W166" s="170"/>
      <c r="X166" s="127"/>
      <c r="Y166" s="121"/>
    </row>
    <row r="167" customFormat="false" ht="13.5" hidden="false" customHeight="false" outlineLevel="0" collapsed="false">
      <c r="U167" s="121"/>
      <c r="V167" s="170"/>
      <c r="W167" s="170"/>
      <c r="X167" s="127"/>
      <c r="Y167" s="121"/>
    </row>
    <row r="168" customFormat="false" ht="13.5" hidden="false" customHeight="false" outlineLevel="0" collapsed="false">
      <c r="U168" s="121"/>
      <c r="V168" s="170"/>
      <c r="W168" s="170"/>
      <c r="X168" s="127"/>
      <c r="Y168" s="121"/>
    </row>
    <row r="169" customFormat="false" ht="13.5" hidden="false" customHeight="false" outlineLevel="0" collapsed="false">
      <c r="U169" s="121"/>
      <c r="V169" s="170"/>
      <c r="W169" s="170"/>
      <c r="X169" s="127"/>
      <c r="Y169" s="121"/>
    </row>
    <row r="170" customFormat="false" ht="13.5" hidden="false" customHeight="false" outlineLevel="0" collapsed="false">
      <c r="U170" s="121"/>
      <c r="V170" s="170"/>
      <c r="W170" s="170"/>
      <c r="X170" s="127"/>
      <c r="Y170" s="121"/>
    </row>
    <row r="171" customFormat="false" ht="13.5" hidden="false" customHeight="false" outlineLevel="0" collapsed="false">
      <c r="U171" s="121"/>
      <c r="V171" s="170"/>
      <c r="W171" s="170"/>
      <c r="X171" s="127"/>
      <c r="Y171" s="121"/>
    </row>
    <row r="172" customFormat="false" ht="13.5" hidden="false" customHeight="false" outlineLevel="0" collapsed="false">
      <c r="U172" s="121"/>
      <c r="V172" s="170"/>
      <c r="W172" s="170"/>
      <c r="X172" s="127"/>
      <c r="Y172" s="121"/>
    </row>
    <row r="173" customFormat="false" ht="13.5" hidden="false" customHeight="false" outlineLevel="0" collapsed="false">
      <c r="U173" s="121"/>
      <c r="V173" s="170"/>
      <c r="W173" s="170"/>
      <c r="X173" s="127"/>
      <c r="Y173" s="121"/>
    </row>
    <row r="174" customFormat="false" ht="13.5" hidden="false" customHeight="false" outlineLevel="0" collapsed="false">
      <c r="U174" s="121"/>
      <c r="V174" s="170"/>
      <c r="W174" s="170"/>
      <c r="X174" s="127"/>
      <c r="Y174" s="121"/>
    </row>
    <row r="175" customFormat="false" ht="13.5" hidden="false" customHeight="false" outlineLevel="0" collapsed="false">
      <c r="U175" s="121"/>
      <c r="V175" s="170"/>
      <c r="W175" s="170"/>
      <c r="X175" s="127"/>
      <c r="Y175" s="121"/>
    </row>
    <row r="176" customFormat="false" ht="13.5" hidden="false" customHeight="false" outlineLevel="0" collapsed="false">
      <c r="U176" s="121"/>
      <c r="V176" s="170"/>
      <c r="W176" s="170"/>
      <c r="X176" s="127"/>
      <c r="Y176" s="121"/>
    </row>
    <row r="177" customFormat="false" ht="13.5" hidden="false" customHeight="false" outlineLevel="0" collapsed="false">
      <c r="U177" s="121"/>
      <c r="V177" s="170"/>
      <c r="W177" s="170"/>
      <c r="X177" s="127"/>
      <c r="Y177" s="121"/>
    </row>
    <row r="178" customFormat="false" ht="13.5" hidden="false" customHeight="false" outlineLevel="0" collapsed="false">
      <c r="U178" s="121"/>
      <c r="V178" s="170"/>
      <c r="W178" s="170"/>
      <c r="X178" s="127"/>
      <c r="Y178" s="121"/>
    </row>
    <row r="179" customFormat="false" ht="13.5" hidden="false" customHeight="false" outlineLevel="0" collapsed="false">
      <c r="U179" s="121"/>
      <c r="V179" s="170"/>
      <c r="W179" s="170"/>
      <c r="X179" s="127"/>
      <c r="Y179" s="121"/>
    </row>
    <row r="180" customFormat="false" ht="13.5" hidden="false" customHeight="false" outlineLevel="0" collapsed="false">
      <c r="U180" s="121"/>
      <c r="V180" s="170"/>
      <c r="W180" s="170"/>
      <c r="X180" s="127"/>
      <c r="Y180" s="121"/>
    </row>
    <row r="181" customFormat="false" ht="13.5" hidden="false" customHeight="false" outlineLevel="0" collapsed="false">
      <c r="U181" s="121"/>
      <c r="V181" s="170"/>
      <c r="W181" s="170"/>
      <c r="X181" s="127"/>
      <c r="Y181" s="121"/>
    </row>
    <row r="182" customFormat="false" ht="13.5" hidden="false" customHeight="false" outlineLevel="0" collapsed="false">
      <c r="U182" s="121"/>
      <c r="V182" s="170"/>
      <c r="W182" s="170"/>
      <c r="X182" s="127"/>
      <c r="Y182" s="121"/>
    </row>
    <row r="183" customFormat="false" ht="13.5" hidden="false" customHeight="false" outlineLevel="0" collapsed="false">
      <c r="U183" s="121"/>
      <c r="V183" s="170"/>
      <c r="W183" s="170"/>
      <c r="X183" s="127"/>
      <c r="Y183" s="121"/>
    </row>
    <row r="184" customFormat="false" ht="13.5" hidden="false" customHeight="false" outlineLevel="0" collapsed="false">
      <c r="U184" s="121"/>
      <c r="V184" s="170"/>
      <c r="W184" s="170"/>
      <c r="X184" s="127"/>
      <c r="Y184" s="121"/>
    </row>
    <row r="185" customFormat="false" ht="13.5" hidden="false" customHeight="false" outlineLevel="0" collapsed="false">
      <c r="U185" s="121"/>
      <c r="V185" s="170"/>
      <c r="W185" s="170"/>
      <c r="X185" s="127"/>
      <c r="Y185" s="121"/>
    </row>
    <row r="186" customFormat="false" ht="13.5" hidden="false" customHeight="false" outlineLevel="0" collapsed="false">
      <c r="U186" s="121"/>
      <c r="V186" s="170"/>
      <c r="W186" s="170"/>
      <c r="X186" s="127"/>
      <c r="Y186" s="121"/>
    </row>
    <row r="187" customFormat="false" ht="13.5" hidden="false" customHeight="false" outlineLevel="0" collapsed="false">
      <c r="U187" s="121"/>
      <c r="V187" s="170"/>
      <c r="W187" s="170"/>
      <c r="X187" s="127"/>
      <c r="Y187" s="121"/>
    </row>
    <row r="188" customFormat="false" ht="13.5" hidden="false" customHeight="false" outlineLevel="0" collapsed="false">
      <c r="U188" s="121"/>
      <c r="V188" s="170"/>
      <c r="W188" s="170"/>
      <c r="X188" s="127"/>
      <c r="Y188" s="121"/>
    </row>
    <row r="189" customFormat="false" ht="13.5" hidden="false" customHeight="false" outlineLevel="0" collapsed="false">
      <c r="U189" s="121"/>
      <c r="V189" s="170"/>
      <c r="W189" s="170"/>
      <c r="X189" s="127"/>
      <c r="Y189" s="121"/>
    </row>
    <row r="190" customFormat="false" ht="13.5" hidden="false" customHeight="false" outlineLevel="0" collapsed="false">
      <c r="U190" s="121"/>
      <c r="V190" s="170"/>
      <c r="W190" s="170"/>
      <c r="X190" s="127"/>
      <c r="Y190" s="121"/>
    </row>
    <row r="191" customFormat="false" ht="13.5" hidden="false" customHeight="false" outlineLevel="0" collapsed="false">
      <c r="U191" s="121"/>
      <c r="V191" s="170"/>
      <c r="W191" s="170"/>
      <c r="X191" s="127"/>
      <c r="Y191" s="121"/>
    </row>
    <row r="192" customFormat="false" ht="13.5" hidden="false" customHeight="false" outlineLevel="0" collapsed="false">
      <c r="U192" s="121"/>
      <c r="V192" s="170"/>
      <c r="W192" s="170"/>
      <c r="X192" s="127"/>
      <c r="Y192" s="121"/>
    </row>
    <row r="193" customFormat="false" ht="13.5" hidden="false" customHeight="false" outlineLevel="0" collapsed="false">
      <c r="U193" s="121"/>
      <c r="V193" s="170"/>
      <c r="W193" s="170"/>
      <c r="X193" s="127"/>
      <c r="Y193" s="121"/>
    </row>
    <row r="194" customFormat="false" ht="13.5" hidden="false" customHeight="false" outlineLevel="0" collapsed="false">
      <c r="U194" s="121"/>
      <c r="V194" s="170"/>
      <c r="W194" s="170"/>
      <c r="X194" s="127"/>
      <c r="Y194" s="121"/>
    </row>
    <row r="195" customFormat="false" ht="13.5" hidden="false" customHeight="false" outlineLevel="0" collapsed="false">
      <c r="U195" s="121"/>
      <c r="V195" s="170"/>
      <c r="W195" s="170"/>
      <c r="X195" s="127"/>
      <c r="Y195" s="121"/>
    </row>
    <row r="196" customFormat="false" ht="13.5" hidden="false" customHeight="false" outlineLevel="0" collapsed="false">
      <c r="U196" s="121"/>
      <c r="V196" s="170"/>
      <c r="W196" s="170"/>
      <c r="X196" s="127"/>
      <c r="Y196" s="121"/>
    </row>
    <row r="197" customFormat="false" ht="13.5" hidden="false" customHeight="false" outlineLevel="0" collapsed="false">
      <c r="U197" s="121"/>
      <c r="V197" s="170"/>
      <c r="W197" s="170"/>
      <c r="X197" s="127"/>
      <c r="Y197" s="121"/>
    </row>
    <row r="198" customFormat="false" ht="13.5" hidden="false" customHeight="false" outlineLevel="0" collapsed="false">
      <c r="U198" s="121"/>
      <c r="V198" s="170"/>
      <c r="W198" s="170"/>
      <c r="X198" s="127"/>
      <c r="Y198" s="121"/>
    </row>
    <row r="199" customFormat="false" ht="13.5" hidden="false" customHeight="false" outlineLevel="0" collapsed="false">
      <c r="U199" s="121"/>
      <c r="V199" s="170"/>
      <c r="W199" s="170"/>
      <c r="X199" s="127"/>
      <c r="Y199" s="121"/>
    </row>
    <row r="200" customFormat="false" ht="13.5" hidden="false" customHeight="false" outlineLevel="0" collapsed="false">
      <c r="U200" s="121"/>
      <c r="V200" s="170"/>
      <c r="W200" s="170"/>
      <c r="X200" s="127"/>
      <c r="Y200" s="121"/>
    </row>
    <row r="201" customFormat="false" ht="13.5" hidden="false" customHeight="false" outlineLevel="0" collapsed="false">
      <c r="U201" s="121"/>
      <c r="V201" s="170"/>
      <c r="W201" s="170"/>
      <c r="X201" s="127"/>
      <c r="Y201" s="121"/>
    </row>
    <row r="202" customFormat="false" ht="13.5" hidden="false" customHeight="false" outlineLevel="0" collapsed="false">
      <c r="U202" s="121"/>
      <c r="V202" s="170"/>
      <c r="W202" s="170"/>
      <c r="X202" s="127"/>
      <c r="Y202" s="121"/>
    </row>
    <row r="203" customFormat="false" ht="13.5" hidden="false" customHeight="false" outlineLevel="0" collapsed="false">
      <c r="U203" s="121"/>
      <c r="V203" s="170"/>
      <c r="W203" s="170"/>
      <c r="X203" s="127"/>
      <c r="Y203" s="121"/>
    </row>
    <row r="204" customFormat="false" ht="13.5" hidden="false" customHeight="false" outlineLevel="0" collapsed="false">
      <c r="U204" s="121"/>
      <c r="V204" s="170"/>
      <c r="W204" s="170"/>
      <c r="X204" s="121"/>
      <c r="Y204" s="121"/>
    </row>
    <row r="205" customFormat="false" ht="13.5" hidden="false" customHeight="false" outlineLevel="0" collapsed="false">
      <c r="U205" s="121"/>
      <c r="V205" s="170"/>
      <c r="W205" s="170"/>
      <c r="X205" s="121"/>
      <c r="Y205" s="121"/>
    </row>
    <row r="206" customFormat="false" ht="13.5" hidden="false" customHeight="false" outlineLevel="0" collapsed="false">
      <c r="U206" s="121"/>
      <c r="V206" s="170"/>
      <c r="W206" s="170"/>
      <c r="X206" s="121"/>
      <c r="Y206" s="121"/>
    </row>
    <row r="207" customFormat="false" ht="13.5" hidden="false" customHeight="false" outlineLevel="0" collapsed="false">
      <c r="U207" s="121"/>
      <c r="V207" s="170"/>
      <c r="W207" s="170"/>
      <c r="X207" s="121"/>
      <c r="Y207" s="121"/>
    </row>
    <row r="208" customFormat="false" ht="13.5" hidden="false" customHeight="false" outlineLevel="0" collapsed="false">
      <c r="U208" s="121"/>
      <c r="V208" s="170"/>
      <c r="W208" s="170"/>
      <c r="X208" s="121"/>
      <c r="Y208" s="121"/>
    </row>
    <row r="209" customFormat="false" ht="13.5" hidden="false" customHeight="false" outlineLevel="0" collapsed="false">
      <c r="U209" s="121"/>
      <c r="V209" s="170"/>
      <c r="W209" s="170"/>
      <c r="X209" s="121"/>
      <c r="Y209" s="121"/>
    </row>
    <row r="210" customFormat="false" ht="13.5" hidden="false" customHeight="false" outlineLevel="0" collapsed="false">
      <c r="U210" s="121"/>
      <c r="V210" s="170"/>
      <c r="W210" s="170"/>
      <c r="X210" s="121"/>
      <c r="Y210" s="121"/>
    </row>
    <row r="211" customFormat="false" ht="13.5" hidden="false" customHeight="false" outlineLevel="0" collapsed="false">
      <c r="U211" s="121"/>
      <c r="V211" s="170"/>
      <c r="W211" s="170"/>
      <c r="X211" s="121"/>
      <c r="Y211" s="121"/>
    </row>
    <row r="212" customFormat="false" ht="13.5" hidden="false" customHeight="false" outlineLevel="0" collapsed="false">
      <c r="U212" s="121"/>
      <c r="V212" s="170"/>
      <c r="W212" s="170"/>
      <c r="X212" s="121"/>
      <c r="Y212" s="121"/>
    </row>
    <row r="213" customFormat="false" ht="13.5" hidden="false" customHeight="false" outlineLevel="0" collapsed="false">
      <c r="U213" s="121"/>
      <c r="V213" s="170"/>
      <c r="W213" s="170"/>
      <c r="X213" s="121"/>
      <c r="Y213" s="121"/>
    </row>
    <row r="214" customFormat="false" ht="13.5" hidden="false" customHeight="false" outlineLevel="0" collapsed="false">
      <c r="U214" s="121"/>
      <c r="V214" s="170"/>
      <c r="W214" s="170"/>
      <c r="X214" s="121"/>
      <c r="Y214" s="121"/>
    </row>
    <row r="215" customFormat="false" ht="13.5" hidden="false" customHeight="false" outlineLevel="0" collapsed="false">
      <c r="U215" s="121"/>
      <c r="V215" s="170"/>
      <c r="W215" s="170"/>
      <c r="X215" s="121"/>
      <c r="Y215" s="121"/>
    </row>
    <row r="216" customFormat="false" ht="13.5" hidden="false" customHeight="false" outlineLevel="0" collapsed="false">
      <c r="U216" s="121"/>
      <c r="V216" s="170"/>
      <c r="W216" s="170"/>
      <c r="X216" s="121"/>
      <c r="Y216" s="121"/>
    </row>
    <row r="217" customFormat="false" ht="13.5" hidden="false" customHeight="false" outlineLevel="0" collapsed="false">
      <c r="U217" s="121"/>
      <c r="V217" s="170"/>
      <c r="W217" s="170"/>
      <c r="X217" s="121"/>
      <c r="Y217" s="121"/>
    </row>
    <row r="218" customFormat="false" ht="13.5" hidden="false" customHeight="false" outlineLevel="0" collapsed="false">
      <c r="U218" s="121"/>
      <c r="V218" s="170"/>
      <c r="W218" s="170"/>
      <c r="X218" s="121"/>
      <c r="Y218" s="121"/>
    </row>
    <row r="219" customFormat="false" ht="13.5" hidden="false" customHeight="false" outlineLevel="0" collapsed="false">
      <c r="U219" s="121"/>
      <c r="V219" s="170"/>
      <c r="W219" s="170"/>
      <c r="X219" s="121"/>
      <c r="Y219" s="121"/>
    </row>
    <row r="220" customFormat="false" ht="13.5" hidden="false" customHeight="false" outlineLevel="0" collapsed="false">
      <c r="U220" s="121"/>
      <c r="V220" s="170"/>
      <c r="W220" s="170"/>
      <c r="X220" s="121"/>
      <c r="Y220" s="121"/>
    </row>
    <row r="221" customFormat="false" ht="13.5" hidden="false" customHeight="false" outlineLevel="0" collapsed="false">
      <c r="U221" s="121"/>
      <c r="V221" s="170"/>
      <c r="W221" s="170"/>
      <c r="X221" s="121"/>
      <c r="Y221" s="121"/>
    </row>
    <row r="222" customFormat="false" ht="13.5" hidden="false" customHeight="false" outlineLevel="0" collapsed="false">
      <c r="U222" s="121"/>
      <c r="V222" s="170"/>
      <c r="W222" s="170"/>
      <c r="X222" s="121"/>
      <c r="Y222" s="121"/>
    </row>
    <row r="223" customFormat="false" ht="13.5" hidden="false" customHeight="false" outlineLevel="0" collapsed="false">
      <c r="U223" s="121"/>
      <c r="V223" s="170"/>
      <c r="W223" s="170"/>
      <c r="X223" s="121"/>
      <c r="Y223" s="121"/>
    </row>
    <row r="224" customFormat="false" ht="13.5" hidden="false" customHeight="false" outlineLevel="0" collapsed="false">
      <c r="U224" s="121"/>
      <c r="V224" s="170"/>
      <c r="W224" s="170"/>
      <c r="X224" s="121"/>
      <c r="Y224" s="121"/>
    </row>
    <row r="225" customFormat="false" ht="13.5" hidden="false" customHeight="false" outlineLevel="0" collapsed="false">
      <c r="U225" s="121"/>
      <c r="V225" s="170"/>
      <c r="W225" s="170"/>
      <c r="X225" s="121"/>
      <c r="Y225" s="121"/>
    </row>
    <row r="226" customFormat="false" ht="13.5" hidden="false" customHeight="false" outlineLevel="0" collapsed="false">
      <c r="U226" s="121"/>
      <c r="V226" s="170"/>
      <c r="W226" s="170"/>
      <c r="X226" s="121"/>
      <c r="Y226" s="121"/>
    </row>
    <row r="227" customFormat="false" ht="13.5" hidden="false" customHeight="false" outlineLevel="0" collapsed="false">
      <c r="U227" s="121"/>
      <c r="V227" s="170"/>
      <c r="W227" s="170"/>
      <c r="X227" s="121"/>
      <c r="Y227" s="121"/>
    </row>
    <row r="228" customFormat="false" ht="13.5" hidden="false" customHeight="false" outlineLevel="0" collapsed="false">
      <c r="U228" s="121"/>
      <c r="V228" s="170"/>
      <c r="W228" s="170"/>
      <c r="X228" s="121"/>
      <c r="Y228" s="121"/>
    </row>
    <row r="229" customFormat="false" ht="13.5" hidden="false" customHeight="false" outlineLevel="0" collapsed="false">
      <c r="U229" s="121"/>
      <c r="V229" s="170"/>
      <c r="W229" s="170"/>
      <c r="X229" s="121"/>
      <c r="Y229" s="121"/>
    </row>
    <row r="230" customFormat="false" ht="13.5" hidden="false" customHeight="false" outlineLevel="0" collapsed="false">
      <c r="U230" s="121"/>
      <c r="V230" s="170"/>
      <c r="W230" s="170"/>
      <c r="X230" s="121"/>
      <c r="Y230" s="121"/>
    </row>
    <row r="231" customFormat="false" ht="13.5" hidden="false" customHeight="false" outlineLevel="0" collapsed="false">
      <c r="U231" s="121"/>
      <c r="V231" s="170"/>
      <c r="W231" s="170"/>
      <c r="X231" s="121"/>
      <c r="Y231" s="121"/>
    </row>
    <row r="232" customFormat="false" ht="13.5" hidden="false" customHeight="false" outlineLevel="0" collapsed="false">
      <c r="U232" s="121"/>
      <c r="V232" s="170"/>
      <c r="W232" s="170"/>
      <c r="X232" s="121"/>
      <c r="Y232" s="121"/>
    </row>
    <row r="233" customFormat="false" ht="13.5" hidden="false" customHeight="false" outlineLevel="0" collapsed="false">
      <c r="U233" s="121"/>
      <c r="V233" s="170"/>
      <c r="W233" s="170"/>
      <c r="X233" s="121"/>
      <c r="Y233" s="121"/>
    </row>
    <row r="234" customFormat="false" ht="13.5" hidden="false" customHeight="false" outlineLevel="0" collapsed="false">
      <c r="U234" s="121"/>
      <c r="V234" s="170"/>
      <c r="W234" s="170"/>
      <c r="X234" s="121"/>
      <c r="Y234" s="121"/>
    </row>
    <row r="235" customFormat="false" ht="13.5" hidden="false" customHeight="false" outlineLevel="0" collapsed="false">
      <c r="U235" s="121"/>
      <c r="V235" s="170"/>
      <c r="W235" s="170"/>
      <c r="X235" s="121"/>
      <c r="Y235" s="121"/>
    </row>
    <row r="236" customFormat="false" ht="13.5" hidden="false" customHeight="false" outlineLevel="0" collapsed="false">
      <c r="U236" s="121"/>
      <c r="V236" s="170"/>
      <c r="W236" s="170"/>
      <c r="X236" s="121"/>
      <c r="Y236" s="121"/>
    </row>
    <row r="237" customFormat="false" ht="13.5" hidden="false" customHeight="false" outlineLevel="0" collapsed="false">
      <c r="U237" s="121"/>
      <c r="V237" s="170"/>
      <c r="W237" s="170"/>
      <c r="X237" s="121"/>
      <c r="Y237" s="121"/>
    </row>
    <row r="238" customFormat="false" ht="13.5" hidden="false" customHeight="false" outlineLevel="0" collapsed="false">
      <c r="U238" s="121"/>
      <c r="V238" s="170"/>
      <c r="W238" s="170"/>
      <c r="X238" s="121"/>
      <c r="Y238" s="121"/>
    </row>
    <row r="239" customFormat="false" ht="13.5" hidden="false" customHeight="false" outlineLevel="0" collapsed="false">
      <c r="U239" s="121"/>
      <c r="V239" s="170"/>
      <c r="W239" s="170"/>
      <c r="X239" s="121"/>
      <c r="Y239" s="121"/>
    </row>
    <row r="240" customFormat="false" ht="13.5" hidden="false" customHeight="false" outlineLevel="0" collapsed="false">
      <c r="U240" s="121"/>
      <c r="V240" s="170"/>
      <c r="W240" s="170"/>
      <c r="X240" s="121"/>
      <c r="Y240" s="121"/>
    </row>
    <row r="241" customFormat="false" ht="13.5" hidden="false" customHeight="false" outlineLevel="0" collapsed="false">
      <c r="U241" s="121"/>
      <c r="V241" s="170"/>
      <c r="W241" s="170"/>
      <c r="X241" s="121"/>
      <c r="Y241" s="121"/>
    </row>
    <row r="242" customFormat="false" ht="13.5" hidden="false" customHeight="false" outlineLevel="0" collapsed="false">
      <c r="U242" s="121"/>
      <c r="V242" s="170"/>
      <c r="W242" s="170"/>
      <c r="X242" s="121"/>
      <c r="Y242" s="121"/>
    </row>
    <row r="243" customFormat="false" ht="13.5" hidden="false" customHeight="false" outlineLevel="0" collapsed="false">
      <c r="U243" s="121"/>
      <c r="V243" s="170"/>
      <c r="W243" s="170"/>
      <c r="X243" s="121"/>
      <c r="Y243" s="121"/>
    </row>
    <row r="244" customFormat="false" ht="13.5" hidden="false" customHeight="false" outlineLevel="0" collapsed="false">
      <c r="U244" s="121"/>
      <c r="V244" s="170"/>
      <c r="W244" s="170"/>
      <c r="X244" s="121"/>
      <c r="Y244" s="121"/>
    </row>
    <row r="245" customFormat="false" ht="13.5" hidden="false" customHeight="false" outlineLevel="0" collapsed="false">
      <c r="U245" s="121"/>
      <c r="V245" s="170"/>
      <c r="W245" s="170"/>
      <c r="X245" s="121"/>
      <c r="Y245" s="121"/>
    </row>
    <row r="246" customFormat="false" ht="13.5" hidden="false" customHeight="false" outlineLevel="0" collapsed="false">
      <c r="U246" s="121"/>
      <c r="V246" s="170"/>
      <c r="W246" s="170"/>
      <c r="X246" s="121"/>
      <c r="Y246" s="121"/>
    </row>
    <row r="247" customFormat="false" ht="13.5" hidden="false" customHeight="false" outlineLevel="0" collapsed="false">
      <c r="U247" s="121"/>
      <c r="V247" s="170"/>
      <c r="W247" s="170"/>
      <c r="X247" s="121"/>
      <c r="Y247" s="121"/>
    </row>
    <row r="248" customFormat="false" ht="13.5" hidden="false" customHeight="false" outlineLevel="0" collapsed="false">
      <c r="U248" s="121"/>
      <c r="V248" s="170"/>
      <c r="W248" s="170"/>
      <c r="X248" s="121"/>
      <c r="Y248" s="121"/>
    </row>
    <row r="249" customFormat="false" ht="13.5" hidden="false" customHeight="false" outlineLevel="0" collapsed="false">
      <c r="U249" s="121"/>
      <c r="V249" s="170"/>
      <c r="W249" s="170"/>
      <c r="X249" s="121"/>
      <c r="Y249" s="121"/>
    </row>
    <row r="250" customFormat="false" ht="13.5" hidden="false" customHeight="false" outlineLevel="0" collapsed="false">
      <c r="U250" s="121"/>
      <c r="V250" s="170"/>
      <c r="W250" s="170"/>
      <c r="X250" s="121"/>
      <c r="Y250" s="121"/>
    </row>
    <row r="251" customFormat="false" ht="13.5" hidden="false" customHeight="false" outlineLevel="0" collapsed="false">
      <c r="U251" s="121"/>
      <c r="V251" s="170"/>
      <c r="W251" s="170"/>
      <c r="X251" s="121"/>
      <c r="Y251" s="121"/>
    </row>
    <row r="252" customFormat="false" ht="13.5" hidden="false" customHeight="false" outlineLevel="0" collapsed="false">
      <c r="U252" s="121"/>
      <c r="V252" s="170"/>
      <c r="W252" s="170"/>
      <c r="X252" s="121"/>
      <c r="Y252" s="121"/>
    </row>
    <row r="253" customFormat="false" ht="13.5" hidden="false" customHeight="false" outlineLevel="0" collapsed="false">
      <c r="U253" s="121"/>
      <c r="V253" s="170"/>
      <c r="W253" s="170"/>
      <c r="X253" s="121"/>
      <c r="Y253" s="121"/>
    </row>
    <row r="254" customFormat="false" ht="13.5" hidden="false" customHeight="false" outlineLevel="0" collapsed="false">
      <c r="U254" s="121"/>
      <c r="V254" s="170"/>
      <c r="W254" s="170"/>
      <c r="X254" s="121"/>
      <c r="Y254" s="121"/>
    </row>
    <row r="255" customFormat="false" ht="13.5" hidden="false" customHeight="false" outlineLevel="0" collapsed="false">
      <c r="U255" s="121"/>
      <c r="V255" s="170"/>
      <c r="W255" s="170"/>
      <c r="X255" s="121"/>
      <c r="Y255" s="121"/>
    </row>
    <row r="256" customFormat="false" ht="13.5" hidden="false" customHeight="false" outlineLevel="0" collapsed="false">
      <c r="U256" s="121"/>
      <c r="V256" s="170"/>
      <c r="W256" s="170"/>
      <c r="X256" s="121"/>
      <c r="Y256" s="121"/>
    </row>
    <row r="257" customFormat="false" ht="13.5" hidden="false" customHeight="false" outlineLevel="0" collapsed="false">
      <c r="U257" s="121"/>
      <c r="V257" s="170"/>
      <c r="W257" s="170"/>
      <c r="X257" s="121"/>
      <c r="Y257" s="121"/>
    </row>
    <row r="258" customFormat="false" ht="13.5" hidden="false" customHeight="false" outlineLevel="0" collapsed="false">
      <c r="U258" s="121"/>
      <c r="V258" s="170"/>
      <c r="W258" s="170"/>
      <c r="X258" s="121"/>
      <c r="Y258" s="121"/>
    </row>
    <row r="259" customFormat="false" ht="13.5" hidden="false" customHeight="false" outlineLevel="0" collapsed="false">
      <c r="U259" s="121"/>
      <c r="V259" s="170"/>
      <c r="W259" s="170"/>
      <c r="X259" s="121"/>
      <c r="Y259" s="121"/>
    </row>
    <row r="260" customFormat="false" ht="13.5" hidden="false" customHeight="false" outlineLevel="0" collapsed="false">
      <c r="U260" s="121"/>
      <c r="V260" s="170"/>
      <c r="W260" s="170"/>
      <c r="X260" s="121"/>
      <c r="Y260" s="121"/>
    </row>
    <row r="261" customFormat="false" ht="13.5" hidden="false" customHeight="false" outlineLevel="0" collapsed="false">
      <c r="U261" s="121"/>
      <c r="V261" s="170"/>
      <c r="W261" s="170"/>
      <c r="X261" s="121"/>
      <c r="Y261" s="121"/>
    </row>
    <row r="262" customFormat="false" ht="13.5" hidden="false" customHeight="false" outlineLevel="0" collapsed="false">
      <c r="U262" s="121"/>
      <c r="V262" s="170"/>
      <c r="W262" s="170"/>
      <c r="X262" s="121"/>
      <c r="Y262" s="121"/>
    </row>
    <row r="263" customFormat="false" ht="13.5" hidden="false" customHeight="false" outlineLevel="0" collapsed="false">
      <c r="U263" s="121"/>
      <c r="V263" s="170"/>
      <c r="W263" s="170"/>
      <c r="X263" s="121"/>
      <c r="Y263" s="121"/>
    </row>
    <row r="264" customFormat="false" ht="13.5" hidden="false" customHeight="false" outlineLevel="0" collapsed="false">
      <c r="U264" s="121"/>
      <c r="V264" s="170"/>
      <c r="W264" s="170"/>
      <c r="X264" s="121"/>
      <c r="Y264" s="121"/>
    </row>
    <row r="265" customFormat="false" ht="13.5" hidden="false" customHeight="false" outlineLevel="0" collapsed="false">
      <c r="U265" s="121"/>
      <c r="V265" s="170"/>
      <c r="W265" s="170"/>
      <c r="X265" s="121"/>
      <c r="Y265" s="121"/>
    </row>
    <row r="266" customFormat="false" ht="13.5" hidden="false" customHeight="false" outlineLevel="0" collapsed="false">
      <c r="U266" s="121"/>
      <c r="V266" s="170"/>
      <c r="W266" s="170"/>
      <c r="X266" s="121"/>
      <c r="Y266" s="121"/>
    </row>
    <row r="267" customFormat="false" ht="13.5" hidden="false" customHeight="false" outlineLevel="0" collapsed="false">
      <c r="U267" s="121"/>
      <c r="V267" s="170"/>
      <c r="W267" s="170"/>
      <c r="X267" s="121"/>
      <c r="Y267" s="121"/>
    </row>
    <row r="268" customFormat="false" ht="13.5" hidden="false" customHeight="false" outlineLevel="0" collapsed="false">
      <c r="U268" s="121"/>
      <c r="V268" s="170"/>
      <c r="W268" s="170"/>
      <c r="X268" s="121"/>
      <c r="Y268" s="121"/>
    </row>
    <row r="269" customFormat="false" ht="13.5" hidden="false" customHeight="false" outlineLevel="0" collapsed="false">
      <c r="U269" s="121"/>
      <c r="V269" s="170"/>
      <c r="W269" s="170"/>
      <c r="X269" s="121"/>
      <c r="Y269" s="121"/>
    </row>
    <row r="270" customFormat="false" ht="13.5" hidden="false" customHeight="false" outlineLevel="0" collapsed="false">
      <c r="U270" s="121"/>
      <c r="V270" s="170"/>
      <c r="W270" s="170"/>
      <c r="X270" s="121"/>
      <c r="Y270" s="121"/>
    </row>
    <row r="271" customFormat="false" ht="13.5" hidden="false" customHeight="false" outlineLevel="0" collapsed="false">
      <c r="U271" s="121"/>
      <c r="V271" s="170"/>
      <c r="W271" s="170"/>
      <c r="X271" s="121"/>
      <c r="Y271" s="121"/>
    </row>
    <row r="272" customFormat="false" ht="13.5" hidden="false" customHeight="false" outlineLevel="0" collapsed="false">
      <c r="U272" s="121"/>
      <c r="V272" s="170"/>
      <c r="W272" s="170"/>
      <c r="X272" s="121"/>
      <c r="Y272" s="121"/>
    </row>
    <row r="273" customFormat="false" ht="13.5" hidden="false" customHeight="false" outlineLevel="0" collapsed="false">
      <c r="U273" s="121"/>
      <c r="V273" s="170"/>
      <c r="W273" s="170"/>
      <c r="X273" s="121"/>
      <c r="Y273" s="121"/>
    </row>
    <row r="274" customFormat="false" ht="13.5" hidden="false" customHeight="false" outlineLevel="0" collapsed="false">
      <c r="U274" s="121"/>
      <c r="V274" s="170"/>
      <c r="W274" s="170"/>
      <c r="X274" s="121"/>
      <c r="Y274" s="121"/>
    </row>
    <row r="275" customFormat="false" ht="13.5" hidden="false" customHeight="false" outlineLevel="0" collapsed="false">
      <c r="U275" s="121"/>
      <c r="V275" s="170"/>
      <c r="W275" s="170"/>
      <c r="X275" s="121"/>
      <c r="Y275" s="121"/>
    </row>
    <row r="276" customFormat="false" ht="13.5" hidden="false" customHeight="false" outlineLevel="0" collapsed="false">
      <c r="U276" s="121"/>
      <c r="V276" s="170"/>
      <c r="W276" s="170"/>
      <c r="X276" s="121"/>
      <c r="Y276" s="121"/>
    </row>
    <row r="277" customFormat="false" ht="13.5" hidden="false" customHeight="false" outlineLevel="0" collapsed="false">
      <c r="U277" s="121"/>
      <c r="V277" s="170"/>
      <c r="W277" s="170"/>
      <c r="X277" s="121"/>
      <c r="Y277" s="121"/>
    </row>
    <row r="278" customFormat="false" ht="13.5" hidden="false" customHeight="false" outlineLevel="0" collapsed="false">
      <c r="U278" s="121"/>
      <c r="V278" s="170"/>
      <c r="W278" s="170"/>
      <c r="X278" s="121"/>
      <c r="Y278" s="121"/>
    </row>
    <row r="279" customFormat="false" ht="13.5" hidden="false" customHeight="false" outlineLevel="0" collapsed="false">
      <c r="U279" s="121"/>
      <c r="V279" s="170"/>
      <c r="W279" s="170"/>
      <c r="X279" s="121"/>
      <c r="Y279" s="121"/>
    </row>
    <row r="280" customFormat="false" ht="13.5" hidden="false" customHeight="false" outlineLevel="0" collapsed="false">
      <c r="U280" s="121"/>
      <c r="V280" s="170"/>
      <c r="W280" s="170"/>
      <c r="X280" s="121"/>
      <c r="Y280" s="121"/>
    </row>
    <row r="281" customFormat="false" ht="13.5" hidden="false" customHeight="false" outlineLevel="0" collapsed="false">
      <c r="U281" s="121"/>
      <c r="V281" s="170"/>
      <c r="W281" s="170"/>
      <c r="X281" s="121"/>
      <c r="Y281" s="121"/>
    </row>
    <row r="282" customFormat="false" ht="13.5" hidden="false" customHeight="false" outlineLevel="0" collapsed="false">
      <c r="U282" s="121"/>
      <c r="V282" s="170"/>
      <c r="W282" s="170"/>
      <c r="X282" s="121"/>
      <c r="Y282" s="121"/>
    </row>
    <row r="283" customFormat="false" ht="13.5" hidden="false" customHeight="false" outlineLevel="0" collapsed="false">
      <c r="U283" s="121"/>
      <c r="V283" s="170"/>
      <c r="W283" s="170"/>
      <c r="X283" s="121"/>
      <c r="Y283" s="121"/>
    </row>
    <row r="284" customFormat="false" ht="13.5" hidden="false" customHeight="false" outlineLevel="0" collapsed="false">
      <c r="U284" s="121"/>
      <c r="V284" s="170"/>
      <c r="W284" s="170"/>
      <c r="X284" s="121"/>
      <c r="Y284" s="121"/>
    </row>
    <row r="285" customFormat="false" ht="13.5" hidden="false" customHeight="false" outlineLevel="0" collapsed="false">
      <c r="U285" s="121"/>
      <c r="V285" s="170"/>
      <c r="W285" s="170"/>
      <c r="X285" s="121"/>
      <c r="Y285" s="121"/>
    </row>
    <row r="286" customFormat="false" ht="13.5" hidden="false" customHeight="false" outlineLevel="0" collapsed="false">
      <c r="U286" s="121"/>
      <c r="V286" s="170"/>
      <c r="W286" s="170"/>
      <c r="X286" s="121"/>
      <c r="Y286" s="121"/>
    </row>
    <row r="287" customFormat="false" ht="13.5" hidden="false" customHeight="false" outlineLevel="0" collapsed="false">
      <c r="U287" s="121"/>
      <c r="V287" s="170"/>
      <c r="W287" s="170"/>
      <c r="X287" s="121"/>
      <c r="Y287" s="121"/>
    </row>
    <row r="288" customFormat="false" ht="13.5" hidden="false" customHeight="false" outlineLevel="0" collapsed="false">
      <c r="U288" s="121"/>
      <c r="V288" s="170"/>
      <c r="W288" s="170"/>
      <c r="X288" s="121"/>
      <c r="Y288" s="121"/>
    </row>
    <row r="289" customFormat="false" ht="13.5" hidden="false" customHeight="false" outlineLevel="0" collapsed="false">
      <c r="U289" s="121"/>
      <c r="V289" s="170"/>
      <c r="W289" s="170"/>
      <c r="X289" s="121"/>
      <c r="Y289" s="121"/>
    </row>
    <row r="302" customFormat="false" ht="13.5" hidden="false" customHeight="false" outlineLevel="0" collapsed="false">
      <c r="N302" s="2" t="s">
        <v>143</v>
      </c>
    </row>
  </sheetData>
  <mergeCells count="127">
    <mergeCell ref="A1:C1"/>
    <mergeCell ref="B2:C2"/>
    <mergeCell ref="D2:J2"/>
    <mergeCell ref="K2:O2"/>
    <mergeCell ref="E3:J3"/>
    <mergeCell ref="K3:M3"/>
    <mergeCell ref="N3:O3"/>
    <mergeCell ref="K4:M4"/>
    <mergeCell ref="N4:O4"/>
    <mergeCell ref="K5:M5"/>
    <mergeCell ref="N5:O5"/>
    <mergeCell ref="K6:M6"/>
    <mergeCell ref="N6:O6"/>
    <mergeCell ref="K7:M7"/>
    <mergeCell ref="N7:O7"/>
    <mergeCell ref="K8:M8"/>
    <mergeCell ref="N8:O8"/>
    <mergeCell ref="E9:G9"/>
    <mergeCell ref="H9:J9"/>
    <mergeCell ref="K9:M9"/>
    <mergeCell ref="N9:O9"/>
    <mergeCell ref="E10:G10"/>
    <mergeCell ref="H10:J10"/>
    <mergeCell ref="K10:K12"/>
    <mergeCell ref="L10:M10"/>
    <mergeCell ref="N10:O10"/>
    <mergeCell ref="L11:M11"/>
    <mergeCell ref="N11:O11"/>
    <mergeCell ref="L12:M12"/>
    <mergeCell ref="N12:O12"/>
    <mergeCell ref="E13:G13"/>
    <mergeCell ref="H13:J13"/>
    <mergeCell ref="K13:M13"/>
    <mergeCell ref="N13:O13"/>
    <mergeCell ref="E14:G14"/>
    <mergeCell ref="H14:J14"/>
    <mergeCell ref="K14:M14"/>
    <mergeCell ref="N14:O14"/>
    <mergeCell ref="E15:G15"/>
    <mergeCell ref="H15:J15"/>
    <mergeCell ref="K15:O15"/>
    <mergeCell ref="A17:G17"/>
    <mergeCell ref="H17:J17"/>
    <mergeCell ref="K17:P17"/>
    <mergeCell ref="Q17:R17"/>
    <mergeCell ref="A18:A19"/>
    <mergeCell ref="B18:B19"/>
    <mergeCell ref="C18:D19"/>
    <mergeCell ref="E18:E19"/>
    <mergeCell ref="F18:G18"/>
    <mergeCell ref="H18:H19"/>
    <mergeCell ref="I18:I19"/>
    <mergeCell ref="J18:J19"/>
    <mergeCell ref="K18:K19"/>
    <mergeCell ref="L18:L19"/>
    <mergeCell ref="M18:M19"/>
    <mergeCell ref="N18:N19"/>
    <mergeCell ref="P18:P19"/>
    <mergeCell ref="Q18:Q19"/>
    <mergeCell ref="R18:R19"/>
    <mergeCell ref="S18:S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C82:D82"/>
    <mergeCell ref="C83:D83"/>
    <mergeCell ref="C84:D84"/>
    <mergeCell ref="F86:H89"/>
  </mergeCells>
  <conditionalFormatting sqref="N21:N83">
    <cfRule type="cellIs" priority="2" operator="lessThan" aboveAverage="0" equalAverage="0" bottom="0" percent="0" rank="0" text="" dxfId="8">
      <formula>0</formula>
    </cfRule>
    <cfRule type="cellIs" priority="3" operator="greaterThan" aboveAverage="0" equalAverage="0" bottom="0" percent="0" rank="0" text="" dxfId="9">
      <formula>0</formula>
    </cfRule>
  </conditionalFormatting>
  <conditionalFormatting sqref="N20">
    <cfRule type="cellIs" priority="4" operator="lessThan" aboveAverage="0" equalAverage="0" bottom="0" percent="0" rank="0" text="" dxfId="10">
      <formula>0</formula>
    </cfRule>
  </conditionalFormatting>
  <conditionalFormatting sqref="N20">
    <cfRule type="cellIs" priority="5" operator="greaterThan" aboveAverage="0" equalAverage="0" bottom="0" percent="0" rank="0" text="" dxfId="11">
      <formula>0</formula>
    </cfRule>
  </conditionalFormatting>
  <conditionalFormatting sqref="N13">
    <cfRule type="cellIs" priority="6" operator="lessThan" aboveAverage="0" equalAverage="0" bottom="0" percent="0" rank="0" text="" dxfId="12">
      <formula>0</formula>
    </cfRule>
  </conditionalFormatting>
  <conditionalFormatting sqref="N13">
    <cfRule type="cellIs" priority="7" operator="greaterThan" aboveAverage="0" equalAverage="0" bottom="0" percent="0" rank="0" text="" dxfId="13">
      <formula>0</formula>
    </cfRule>
  </conditionalFormatting>
  <conditionalFormatting sqref="N84">
    <cfRule type="cellIs" priority="8" operator="greaterThan" aboveAverage="0" equalAverage="0" bottom="0" percent="0" rank="0" text="" dxfId="14">
      <formula>0</formula>
    </cfRule>
  </conditionalFormatting>
  <conditionalFormatting sqref="N84">
    <cfRule type="cellIs" priority="9" operator="lessThan" aboveAverage="0" equalAverage="0" bottom="0" percent="0" rank="0" text="" dxfId="15">
      <formula>0</formula>
    </cfRule>
  </conditionalFormatting>
  <conditionalFormatting sqref="N84">
    <cfRule type="cellIs" priority="10" operator="greaterThan" aboveAverage="0" equalAverage="0" bottom="0" percent="0" rank="0" text="" dxfId="16">
      <formula>0</formula>
    </cfRule>
  </conditionalFormatting>
  <conditionalFormatting sqref="N114">
    <cfRule type="cellIs" priority="11" operator="lessThan" aboveAverage="0" equalAverage="0" bottom="0" percent="0" rank="0" text="" dxfId="17">
      <formula>0</formula>
    </cfRule>
  </conditionalFormatting>
  <printOptions headings="false" gridLines="false" gridLinesSet="true" horizontalCentered="false" verticalCentered="false"/>
  <pageMargins left="0.708333333333333" right="0" top="0.747916666666667" bottom="0.157638888888889" header="0.511811023622047" footer="0.511811023622047"/>
  <pageSetup paperSize="8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D87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C91" activeCellId="0" sqref="C91"/>
    </sheetView>
  </sheetViews>
  <sheetFormatPr defaultColWidth="9.109375" defaultRowHeight="13.5" zeroHeight="false" outlineLevelRow="0" outlineLevelCol="0"/>
  <cols>
    <col collapsed="false" customWidth="true" hidden="false" outlineLevel="0" max="1" min="1" style="172" width="3"/>
    <col collapsed="false" customWidth="true" hidden="false" outlineLevel="0" max="2" min="2" style="173" width="26.88"/>
    <col collapsed="false" customWidth="true" hidden="false" outlineLevel="0" max="3" min="3" style="173" width="44.66"/>
    <col collapsed="false" customWidth="true" hidden="false" outlineLevel="0" max="4" min="4" style="173" width="4"/>
    <col collapsed="false" customWidth="true" hidden="false" outlineLevel="0" max="7" min="5" style="173" width="5"/>
    <col collapsed="false" customWidth="true" hidden="false" outlineLevel="0" max="8" min="8" style="173" width="5.66"/>
    <col collapsed="false" customWidth="true" hidden="false" outlineLevel="0" max="9" min="9" style="173" width="11.33"/>
    <col collapsed="false" customWidth="true" hidden="false" outlineLevel="0" max="10" min="10" style="173" width="12.67"/>
    <col collapsed="false" customWidth="true" hidden="false" outlineLevel="0" max="12" min="11" style="173" width="4.44"/>
    <col collapsed="false" customWidth="false" hidden="false" outlineLevel="0" max="14" min="13" style="173" width="9.11"/>
    <col collapsed="false" customWidth="true" hidden="false" outlineLevel="0" max="15" min="15" style="173" width="25.33"/>
    <col collapsed="false" customWidth="false" hidden="false" outlineLevel="0" max="16384" min="16" style="173" width="9.11"/>
  </cols>
  <sheetData>
    <row r="1" customFormat="false" ht="27" hidden="false" customHeight="true" outlineLevel="0" collapsed="false">
      <c r="A1" s="174" t="s">
        <v>0</v>
      </c>
      <c r="B1" s="174"/>
      <c r="C1" s="174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6"/>
    </row>
    <row r="2" customFormat="false" ht="13.5" hidden="false" customHeight="true" outlineLevel="0" collapsed="false">
      <c r="A2" s="177"/>
      <c r="B2" s="101" t="s">
        <v>4</v>
      </c>
      <c r="C2" s="101" t="str">
        <f aca="false">'Глубина-день'!C3</f>
        <v>ООО "Газпромнефть-Хантос"</v>
      </c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  <c r="O2" s="176"/>
    </row>
    <row r="3" customFormat="false" ht="13.5" hidden="false" customHeight="true" outlineLevel="0" collapsed="false">
      <c r="A3" s="177"/>
      <c r="B3" s="101" t="s">
        <v>9</v>
      </c>
      <c r="C3" s="101" t="str">
        <f aca="false">'Глубина-день'!C4</f>
        <v>Южно-Приобское</v>
      </c>
      <c r="D3" s="176"/>
      <c r="E3" s="176"/>
      <c r="F3" s="176"/>
      <c r="G3" s="176"/>
      <c r="H3" s="176"/>
      <c r="I3" s="176"/>
      <c r="J3" s="176"/>
      <c r="K3" s="176"/>
      <c r="L3" s="176"/>
      <c r="M3" s="176"/>
      <c r="N3" s="176"/>
      <c r="O3" s="176"/>
    </row>
    <row r="4" customFormat="false" ht="13.5" hidden="false" customHeight="true" outlineLevel="0" collapsed="false">
      <c r="A4" s="177"/>
      <c r="B4" s="101" t="s">
        <v>17</v>
      </c>
      <c r="C4" s="101" t="str">
        <f aca="false">'Глубина-день'!C5</f>
        <v>134В.1 ЮПМ</v>
      </c>
      <c r="D4" s="176"/>
      <c r="E4" s="176"/>
      <c r="F4" s="176"/>
      <c r="G4" s="176"/>
      <c r="H4" s="176"/>
      <c r="I4" s="176"/>
      <c r="J4" s="176"/>
      <c r="K4" s="176"/>
      <c r="L4" s="176"/>
      <c r="M4" s="176"/>
      <c r="N4" s="176"/>
      <c r="O4" s="176"/>
    </row>
    <row r="5" customFormat="false" ht="13.5" hidden="false" customHeight="true" outlineLevel="0" collapsed="false">
      <c r="A5" s="177"/>
      <c r="B5" s="101" t="s">
        <v>20</v>
      </c>
      <c r="C5" s="101" t="n">
        <f aca="false">'Глубина-день'!C6</f>
        <v>43820</v>
      </c>
      <c r="D5" s="176"/>
      <c r="E5" s="176"/>
      <c r="F5" s="176"/>
      <c r="G5" s="176"/>
      <c r="H5" s="176"/>
      <c r="I5" s="176"/>
      <c r="J5" s="176"/>
      <c r="K5" s="176"/>
      <c r="L5" s="176"/>
      <c r="M5" s="176"/>
      <c r="N5" s="176"/>
      <c r="O5" s="176"/>
    </row>
    <row r="6" customFormat="false" ht="13.5" hidden="false" customHeight="true" outlineLevel="0" collapsed="false">
      <c r="A6" s="177"/>
      <c r="B6" s="101" t="s">
        <v>25</v>
      </c>
      <c r="C6" s="101" t="str">
        <f aca="false">'Глубина-день'!C7</f>
        <v>2КК, ГС без ПС</v>
      </c>
      <c r="D6" s="176"/>
      <c r="E6" s="176"/>
      <c r="F6" s="176"/>
      <c r="G6" s="176"/>
      <c r="H6" s="176"/>
      <c r="I6" s="176"/>
      <c r="J6" s="176"/>
      <c r="K6" s="176"/>
      <c r="L6" s="176"/>
      <c r="M6" s="176"/>
      <c r="N6" s="176"/>
      <c r="O6" s="176"/>
    </row>
    <row r="7" customFormat="false" ht="13.5" hidden="false" customHeight="true" outlineLevel="0" collapsed="false">
      <c r="A7" s="177"/>
      <c r="B7" s="101" t="s">
        <v>144</v>
      </c>
      <c r="C7" s="101" t="str">
        <f aca="false">IF('Глубина-день'!C8="","",'Глубина-день'!C8)</f>
        <v>Богомягков В.А.</v>
      </c>
      <c r="D7" s="176"/>
      <c r="E7" s="176"/>
      <c r="F7" s="176"/>
      <c r="G7" s="176"/>
      <c r="H7" s="176"/>
      <c r="I7" s="176"/>
      <c r="J7" s="176"/>
      <c r="K7" s="176"/>
      <c r="L7" s="176"/>
      <c r="M7" s="176"/>
      <c r="N7" s="176"/>
      <c r="O7" s="176"/>
    </row>
    <row r="8" customFormat="false" ht="13.5" hidden="false" customHeight="true" outlineLevel="0" collapsed="false">
      <c r="A8" s="177"/>
      <c r="B8" s="101"/>
      <c r="C8" s="101" t="str">
        <f aca="false">IF('Глубина-день'!C9="","",'Глубина-день'!C9)</f>
        <v/>
      </c>
      <c r="D8" s="176"/>
      <c r="E8" s="176"/>
      <c r="F8" s="176"/>
      <c r="G8" s="176"/>
      <c r="H8" s="176"/>
      <c r="I8" s="176"/>
      <c r="J8" s="176"/>
      <c r="K8" s="176"/>
      <c r="L8" s="176"/>
      <c r="M8" s="176"/>
      <c r="N8" s="176"/>
      <c r="O8" s="176"/>
    </row>
    <row r="9" customFormat="false" ht="13.5" hidden="false" customHeight="true" outlineLevel="0" collapsed="false">
      <c r="A9" s="177"/>
      <c r="B9" s="101"/>
      <c r="C9" s="101" t="str">
        <f aca="false">IF('Глубина-день'!C10="","",'Глубина-день'!C10)</f>
        <v/>
      </c>
      <c r="D9" s="176"/>
      <c r="E9" s="176"/>
      <c r="F9" s="176"/>
      <c r="G9" s="176"/>
      <c r="H9" s="176"/>
      <c r="I9" s="176"/>
      <c r="J9" s="176"/>
      <c r="K9" s="176"/>
      <c r="L9" s="176"/>
      <c r="M9" s="176"/>
      <c r="N9" s="176"/>
      <c r="O9" s="176"/>
    </row>
    <row r="10" customFormat="false" ht="13.5" hidden="false" customHeight="true" outlineLevel="0" collapsed="false">
      <c r="A10" s="177"/>
      <c r="B10" s="178" t="s">
        <v>145</v>
      </c>
      <c r="C10" s="179" t="e">
        <f aca="false">IF('глубина-день'!#ref!="","",'глубина-день'!#ref!)</f>
        <v>#VALUE!</v>
      </c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6"/>
    </row>
    <row r="11" customFormat="false" ht="17.25" hidden="false" customHeight="true" outlineLevel="0" collapsed="false">
      <c r="A11" s="180" t="str">
        <f aca="false">'Глубина-день'!A17:E17</f>
        <v>Операции</v>
      </c>
      <c r="B11" s="180"/>
      <c r="C11" s="180"/>
      <c r="D11" s="180"/>
      <c r="E11" s="181" t="e">
        <f aca="false">'Глубина-день'!F17:R17</f>
        <v>#VALUE!</v>
      </c>
      <c r="F11" s="181"/>
      <c r="G11" s="181"/>
      <c r="H11" s="181"/>
      <c r="I11" s="181"/>
      <c r="J11" s="181"/>
      <c r="K11" s="181"/>
      <c r="L11" s="181"/>
      <c r="M11" s="181" t="n">
        <f aca="false">'Глубина-день'!K17:P17</f>
        <v>0</v>
      </c>
      <c r="N11" s="181"/>
      <c r="O11" s="181"/>
      <c r="P11" s="172"/>
      <c r="Q11" s="172"/>
      <c r="R11" s="172"/>
      <c r="S11" s="172"/>
      <c r="W11" s="172"/>
      <c r="X11" s="172"/>
      <c r="Y11" s="172"/>
      <c r="Z11" s="172"/>
      <c r="AA11" s="172"/>
      <c r="AB11" s="172"/>
      <c r="AC11" s="172"/>
      <c r="AD11" s="172"/>
    </row>
    <row r="12" customFormat="false" ht="42" hidden="false" customHeight="true" outlineLevel="0" collapsed="false">
      <c r="A12" s="84" t="s">
        <v>41</v>
      </c>
      <c r="B12" s="141" t="s">
        <v>39</v>
      </c>
      <c r="C12" s="141" t="s">
        <v>42</v>
      </c>
      <c r="D12" s="182" t="s">
        <v>11</v>
      </c>
      <c r="E12" s="183" t="s">
        <v>146</v>
      </c>
      <c r="F12" s="184" t="s">
        <v>147</v>
      </c>
      <c r="G12" s="185" t="s">
        <v>34</v>
      </c>
      <c r="H12" s="84" t="s">
        <v>7</v>
      </c>
      <c r="I12" s="84" t="s">
        <v>46</v>
      </c>
      <c r="J12" s="84" t="s">
        <v>148</v>
      </c>
      <c r="K12" s="84" t="s">
        <v>149</v>
      </c>
      <c r="L12" s="84" t="s">
        <v>150</v>
      </c>
      <c r="M12" s="186" t="s">
        <v>7</v>
      </c>
      <c r="N12" s="186" t="s">
        <v>151</v>
      </c>
      <c r="O12" s="186" t="s">
        <v>51</v>
      </c>
      <c r="P12" s="172"/>
      <c r="Q12" s="172"/>
      <c r="R12" s="172"/>
      <c r="S12" s="172"/>
      <c r="W12" s="172"/>
      <c r="X12" s="172"/>
      <c r="Y12" s="172"/>
      <c r="Z12" s="172"/>
      <c r="AA12" s="172"/>
      <c r="AB12" s="172"/>
      <c r="AC12" s="172"/>
      <c r="AD12" s="172"/>
    </row>
    <row r="13" customFormat="false" ht="12" hidden="false" customHeight="true" outlineLevel="0" collapsed="false">
      <c r="A13" s="31" t="n">
        <f aca="false">IF('Глубина-день'!A20="","",'Глубина-день'!A20)</f>
        <v>1</v>
      </c>
      <c r="B13" s="101" t="str">
        <f aca="false">IF('Глубина-день'!B20="","",'Глубина-день'!B20)</f>
        <v>КНБК</v>
      </c>
      <c r="C13" s="101" t="str">
        <f aca="false">IF('Глубина-день'!C20="","",'Глубина-день'!C20)</f>
        <v>Сборка КНБК</v>
      </c>
      <c r="D13" s="31" t="n">
        <f aca="false">IF('Глубина-день'!E20="","",'Глубина-день'!E20)</f>
        <v>245</v>
      </c>
      <c r="E13" s="187" t="n">
        <f aca="false">IF('Глубина-день'!F20="","",'Глубина-день'!F20)</f>
        <v>0</v>
      </c>
      <c r="F13" s="188" t="str">
        <f aca="false">IF('Глубина-день'!G20="","",'Глубина-день'!G20)</f>
        <v/>
      </c>
      <c r="G13" s="31" t="e">
        <f aca="false">IF('глубина-день'!#ref!="","",'глубина-день'!#ref!)</f>
        <v>#VALUE!</v>
      </c>
      <c r="H13" s="31" t="n">
        <f aca="false">IF('Глубина-день'!H20="","",'Глубина-день'!H20)</f>
        <v>0</v>
      </c>
      <c r="I13" s="31" t="n">
        <f aca="false">IF('Глубина-день'!I20="","",'Глубина-день'!I20)</f>
        <v>0.5</v>
      </c>
      <c r="J13" s="189" t="n">
        <f aca="false">IF('Глубина-день'!J20="","",'Глубина-день'!J20)</f>
        <v>45499.6458333333</v>
      </c>
      <c r="K13" s="31" t="n">
        <f aca="false">IF('Глубина-день'!R20="","",'Глубина-день'!R20)</f>
        <v>0.5</v>
      </c>
      <c r="L13" s="190" t="e">
        <f aca="false">IF('глубина-день'!#ref!="","",'глубина-день'!#ref!)</f>
        <v>#VALUE!</v>
      </c>
      <c r="M13" s="26"/>
      <c r="N13" s="31"/>
      <c r="O13" s="191"/>
      <c r="P13" s="172"/>
      <c r="Q13" s="172"/>
      <c r="R13" s="172"/>
      <c r="S13" s="172"/>
      <c r="W13" s="172"/>
      <c r="X13" s="172"/>
      <c r="Y13" s="172"/>
      <c r="Z13" s="172"/>
      <c r="AA13" s="172"/>
      <c r="AB13" s="172"/>
      <c r="AC13" s="172"/>
      <c r="AD13" s="172"/>
    </row>
    <row r="14" customFormat="false" ht="12" hidden="false" customHeight="true" outlineLevel="0" collapsed="false">
      <c r="A14" s="31" t="n">
        <f aca="false">IF('Глубина-день'!A21="","",'Глубина-день'!A21)</f>
        <v>2</v>
      </c>
      <c r="B14" s="101" t="str">
        <f aca="false">IF('Глубина-день'!B21="","",'Глубина-день'!B21)</f>
        <v>Бурение</v>
      </c>
      <c r="C14" s="101" t="str">
        <f aca="false">IF('Глубина-день'!C21="","",'Глубина-день'!C21)</f>
        <v>Бурение под направление</v>
      </c>
      <c r="D14" s="31" t="n">
        <f aca="false">IF('Глубина-день'!E21="","",'Глубина-день'!E21)</f>
        <v>245</v>
      </c>
      <c r="E14" s="187" t="n">
        <f aca="false">IF('Глубина-день'!F21="","",'Глубина-день'!F21)</f>
        <v>0</v>
      </c>
      <c r="F14" s="188" t="n">
        <f aca="false">IF('Глубина-день'!G21="","",'Глубина-день'!G21)</f>
        <v>80</v>
      </c>
      <c r="G14" s="31" t="e">
        <f aca="false">IF('глубина-день'!#ref!="","",'глубина-день'!#ref!)</f>
        <v>#VALUE!</v>
      </c>
      <c r="H14" s="31" t="n">
        <f aca="false">IF('Глубина-день'!H21="","",'Глубина-день'!H21)</f>
        <v>80</v>
      </c>
      <c r="I14" s="31" t="n">
        <f aca="false">IF('Глубина-день'!I21="","",'Глубина-день'!I21)</f>
        <v>2</v>
      </c>
      <c r="J14" s="189" t="n">
        <f aca="false">IF('Глубина-день'!J21="","",'Глубина-день'!J21)</f>
        <v>45499.7291666667</v>
      </c>
      <c r="K14" s="31" t="n">
        <f aca="false">IF('Глубина-день'!R21="","",'Глубина-день'!R21)</f>
        <v>2</v>
      </c>
      <c r="L14" s="190" t="e">
        <f aca="false">IF('глубина-день'!#ref!="","",'глубина-день'!#ref!)</f>
        <v>#VALUE!</v>
      </c>
      <c r="M14" s="26"/>
      <c r="N14" s="31"/>
      <c r="O14" s="191"/>
      <c r="P14" s="172"/>
      <c r="Q14" s="172"/>
      <c r="R14" s="172"/>
      <c r="S14" s="172"/>
      <c r="W14" s="172"/>
      <c r="X14" s="172"/>
      <c r="Y14" s="172"/>
      <c r="Z14" s="172"/>
      <c r="AA14" s="172"/>
      <c r="AB14" s="172"/>
      <c r="AC14" s="172"/>
      <c r="AD14" s="172"/>
    </row>
    <row r="15" customFormat="false" ht="12" hidden="false" customHeight="true" outlineLevel="0" collapsed="false">
      <c r="A15" s="31" t="n">
        <f aca="false">IF('Глубина-день'!A22="","",'Глубина-день'!A22)</f>
        <v>3</v>
      </c>
      <c r="B15" s="101" t="str">
        <f aca="false">IF('Глубина-день'!B22="","",'Глубина-день'!B22)</f>
        <v>Шаблонирование / проработка</v>
      </c>
      <c r="C15" s="101" t="str">
        <f aca="false">IF('Глубина-день'!C22="","",'Глубина-день'!C22)</f>
        <v>Шаблонирование перед спуском</v>
      </c>
      <c r="D15" s="31" t="n">
        <f aca="false">IF('Глубина-день'!E22="","",'Глубина-день'!E22)</f>
        <v>245</v>
      </c>
      <c r="E15" s="187" t="n">
        <f aca="false">IF('Глубина-день'!F22="","",'Глубина-день'!F22)</f>
        <v>0</v>
      </c>
      <c r="F15" s="188" t="n">
        <f aca="false">IF('Глубина-день'!G22="","",'Глубина-день'!G22)</f>
        <v>80</v>
      </c>
      <c r="G15" s="31" t="e">
        <f aca="false">IF('глубина-день'!#ref!="","",'глубина-день'!#ref!)</f>
        <v>#VALUE!</v>
      </c>
      <c r="H15" s="31" t="n">
        <f aca="false">IF('Глубина-день'!H22="","",'Глубина-день'!H22)</f>
        <v>80</v>
      </c>
      <c r="I15" s="31" t="n">
        <f aca="false">IF('Глубина-день'!I22="","",'Глубина-день'!I22)</f>
        <v>1</v>
      </c>
      <c r="J15" s="189" t="n">
        <f aca="false">IF('Глубина-день'!J22="","",'Глубина-день'!J22)</f>
        <v>45499.7708333333</v>
      </c>
      <c r="K15" s="31" t="n">
        <f aca="false">IF('Глубина-день'!R22="","",'Глубина-день'!R22)</f>
        <v>1</v>
      </c>
      <c r="L15" s="190" t="e">
        <f aca="false">IF('глубина-день'!#ref!="","",'глубина-день'!#ref!)</f>
        <v>#VALUE!</v>
      </c>
      <c r="M15" s="26"/>
      <c r="N15" s="31"/>
      <c r="O15" s="191"/>
      <c r="P15" s="172"/>
      <c r="Q15" s="172"/>
      <c r="R15" s="172"/>
      <c r="S15" s="172"/>
      <c r="W15" s="172"/>
      <c r="X15" s="172"/>
      <c r="Y15" s="172"/>
      <c r="Z15" s="172"/>
      <c r="AA15" s="172"/>
      <c r="AB15" s="172"/>
      <c r="AC15" s="172"/>
      <c r="AD15" s="172"/>
    </row>
    <row r="16" customFormat="false" ht="12" hidden="false" customHeight="true" outlineLevel="0" collapsed="false">
      <c r="A16" s="31" t="n">
        <f aca="false">IF('Глубина-день'!A23="","",'Глубина-день'!A23)</f>
        <v>4</v>
      </c>
      <c r="B16" s="101" t="str">
        <f aca="false">IF('Глубина-день'!B23="","",'Глубина-день'!B23)</f>
        <v>КНБК</v>
      </c>
      <c r="C16" s="101" t="str">
        <f aca="false">IF('Глубина-день'!C23="","",'Глубина-день'!C23)</f>
        <v>Разборка КНБК</v>
      </c>
      <c r="D16" s="31" t="n">
        <f aca="false">IF('Глубина-день'!E23="","",'Глубина-день'!E23)</f>
        <v>245</v>
      </c>
      <c r="E16" s="187" t="str">
        <f aca="false">IF('Глубина-день'!F23="","",'Глубина-день'!F23)</f>
        <v/>
      </c>
      <c r="F16" s="188" t="str">
        <f aca="false">IF('Глубина-день'!G23="","",'Глубина-день'!G23)</f>
        <v/>
      </c>
      <c r="G16" s="31" t="e">
        <f aca="false">IF('глубина-день'!#ref!="","",'глубина-день'!#ref!)</f>
        <v>#VALUE!</v>
      </c>
      <c r="H16" s="31" t="n">
        <f aca="false">IF('Глубина-день'!H23="","",'Глубина-день'!H23)</f>
        <v>80</v>
      </c>
      <c r="I16" s="31" t="n">
        <f aca="false">IF('Глубина-день'!I23="","",'Глубина-день'!I23)</f>
        <v>0.5</v>
      </c>
      <c r="J16" s="189" t="n">
        <f aca="false">IF('Глубина-день'!J23="","",'Глубина-день'!J23)</f>
        <v>45499.7916666667</v>
      </c>
      <c r="K16" s="31" t="n">
        <f aca="false">IF('Глубина-день'!R23="","",'Глубина-день'!R23)</f>
        <v>0.5</v>
      </c>
      <c r="L16" s="190" t="e">
        <f aca="false">IF('глубина-день'!#ref!="","",'глубина-день'!#ref!)</f>
        <v>#VALUE!</v>
      </c>
      <c r="M16" s="26"/>
      <c r="N16" s="31"/>
      <c r="O16" s="191"/>
      <c r="P16" s="172"/>
      <c r="Q16" s="172"/>
      <c r="R16" s="172"/>
      <c r="S16" s="172"/>
      <c r="W16" s="172"/>
      <c r="X16" s="172"/>
      <c r="Y16" s="172"/>
      <c r="Z16" s="172"/>
      <c r="AA16" s="172"/>
      <c r="AB16" s="172"/>
      <c r="AC16" s="172"/>
      <c r="AD16" s="172"/>
    </row>
    <row r="17" customFormat="false" ht="12" hidden="false" customHeight="true" outlineLevel="0" collapsed="false">
      <c r="A17" s="31" t="n">
        <f aca="false">IF('Глубина-день'!A24="","",'Глубина-день'!A24)</f>
        <v>5</v>
      </c>
      <c r="B17" s="101" t="str">
        <f aca="false">IF('Глубина-день'!B24="","",'Глубина-день'!B24)</f>
        <v>Подготовительные работы</v>
      </c>
      <c r="C17" s="101" t="str">
        <f aca="false">IF('Глубина-день'!C24="","",'Глубина-день'!C24)</f>
        <v>ПР к спуску направления 245 мм</v>
      </c>
      <c r="D17" s="31" t="n">
        <f aca="false">IF('Глубина-день'!E24="","",'Глубина-день'!E24)</f>
        <v>245</v>
      </c>
      <c r="E17" s="187" t="str">
        <f aca="false">IF('Глубина-день'!F24="","",'Глубина-день'!F24)</f>
        <v/>
      </c>
      <c r="F17" s="188" t="str">
        <f aca="false">IF('Глубина-день'!G24="","",'Глубина-день'!G24)</f>
        <v/>
      </c>
      <c r="G17" s="31" t="e">
        <f aca="false">IF('глубина-день'!#ref!="","",'глубина-день'!#ref!)</f>
        <v>#VALUE!</v>
      </c>
      <c r="H17" s="31" t="n">
        <f aca="false">IF('Глубина-день'!H24="","",'Глубина-день'!H24)</f>
        <v>80</v>
      </c>
      <c r="I17" s="31" t="n">
        <f aca="false">IF('Глубина-день'!I24="","",'Глубина-день'!I24)</f>
        <v>0.5</v>
      </c>
      <c r="J17" s="189" t="n">
        <f aca="false">IF('Глубина-день'!J24="","",'Глубина-день'!J24)</f>
        <v>45499.8125</v>
      </c>
      <c r="K17" s="31" t="n">
        <f aca="false">IF('Глубина-день'!R24="","",'Глубина-день'!R24)</f>
        <v>0.5</v>
      </c>
      <c r="L17" s="190" t="e">
        <f aca="false">IF('глубина-день'!#ref!="","",'глубина-день'!#ref!)</f>
        <v>#VALUE!</v>
      </c>
      <c r="M17" s="26"/>
      <c r="N17" s="31"/>
      <c r="O17" s="191"/>
      <c r="P17" s="172"/>
      <c r="Q17" s="172"/>
      <c r="R17" s="172"/>
      <c r="S17" s="172"/>
      <c r="W17" s="172"/>
      <c r="X17" s="172"/>
      <c r="Y17" s="172"/>
      <c r="Z17" s="172"/>
      <c r="AA17" s="172"/>
      <c r="AB17" s="172"/>
      <c r="AC17" s="172"/>
      <c r="AD17" s="172"/>
    </row>
    <row r="18" customFormat="false" ht="12" hidden="false" customHeight="true" outlineLevel="0" collapsed="false">
      <c r="A18" s="31" t="n">
        <f aca="false">IF('Глубина-день'!A25="","",'Глубина-день'!A25)</f>
        <v>6</v>
      </c>
      <c r="B18" s="101" t="str">
        <f aca="false">IF('Глубина-день'!B25="","",'Глубина-день'!B25)</f>
        <v>Крепление</v>
      </c>
      <c r="C18" s="101" t="str">
        <f aca="false">IF('Глубина-день'!C25="","",'Глубина-день'!C25)</f>
        <v>Спуск направления</v>
      </c>
      <c r="D18" s="31" t="n">
        <f aca="false">IF('Глубина-день'!E25="","",'Глубина-день'!E25)</f>
        <v>245</v>
      </c>
      <c r="E18" s="187" t="n">
        <f aca="false">IF('Глубина-день'!F25="","",'Глубина-день'!F25)</f>
        <v>0</v>
      </c>
      <c r="F18" s="188" t="n">
        <f aca="false">IF('Глубина-день'!G25="","",'Глубина-день'!G25)</f>
        <v>80</v>
      </c>
      <c r="G18" s="31" t="e">
        <f aca="false">IF('глубина-день'!#ref!="","",'глубина-день'!#ref!)</f>
        <v>#VALUE!</v>
      </c>
      <c r="H18" s="31" t="n">
        <f aca="false">IF('Глубина-день'!H25="","",'Глубина-день'!H25)</f>
        <v>80</v>
      </c>
      <c r="I18" s="31" t="n">
        <f aca="false">IF('Глубина-день'!I25="","",'Глубина-день'!I25)</f>
        <v>2</v>
      </c>
      <c r="J18" s="189" t="n">
        <f aca="false">IF('Глубина-день'!J25="","",'Глубина-день'!J25)</f>
        <v>45499.8958333333</v>
      </c>
      <c r="K18" s="31" t="n">
        <f aca="false">IF('Глубина-день'!R25="","",'Глубина-день'!R25)</f>
        <v>2</v>
      </c>
      <c r="L18" s="190" t="e">
        <f aca="false">IF('глубина-день'!#ref!="","",'глубина-день'!#ref!)</f>
        <v>#VALUE!</v>
      </c>
      <c r="M18" s="26"/>
      <c r="N18" s="31"/>
      <c r="O18" s="191"/>
      <c r="P18" s="172"/>
      <c r="Q18" s="172"/>
      <c r="R18" s="172"/>
      <c r="S18" s="172"/>
      <c r="W18" s="172"/>
      <c r="X18" s="172"/>
      <c r="Y18" s="172"/>
      <c r="Z18" s="172"/>
      <c r="AA18" s="172"/>
      <c r="AB18" s="172"/>
      <c r="AC18" s="172"/>
      <c r="AD18" s="172"/>
    </row>
    <row r="19" customFormat="false" ht="12" hidden="false" customHeight="true" outlineLevel="0" collapsed="false">
      <c r="A19" s="31" t="n">
        <f aca="false">IF('Глубина-день'!A26="","",'Глубина-день'!A26)</f>
        <v>7</v>
      </c>
      <c r="B19" s="101" t="str">
        <f aca="false">IF('Глубина-день'!B26="","",'Глубина-день'!B26)</f>
        <v>Циркуляция и Обработка БР</v>
      </c>
      <c r="C19" s="101" t="str">
        <f aca="false">IF('Глубина-день'!C26="","",'Глубина-день'!C26)</f>
        <v>Промывка перед цементажем</v>
      </c>
      <c r="D19" s="31" t="n">
        <f aca="false">IF('Глубина-день'!E26="","",'Глубина-день'!E26)</f>
        <v>245</v>
      </c>
      <c r="E19" s="187" t="str">
        <f aca="false">IF('Глубина-день'!F26="","",'Глубина-день'!F26)</f>
        <v/>
      </c>
      <c r="F19" s="188" t="str">
        <f aca="false">IF('Глубина-день'!G26="","",'Глубина-день'!G26)</f>
        <v/>
      </c>
      <c r="G19" s="31" t="e">
        <f aca="false">IF('глубина-день'!#ref!="","",'глубина-день'!#ref!)</f>
        <v>#VALUE!</v>
      </c>
      <c r="H19" s="31" t="n">
        <f aca="false">IF('Глубина-день'!H26="","",'Глубина-день'!H26)</f>
        <v>80</v>
      </c>
      <c r="I19" s="31" t="n">
        <f aca="false">IF('Глубина-день'!I26="","",'Глубина-день'!I26)</f>
        <v>0.5</v>
      </c>
      <c r="J19" s="189" t="n">
        <f aca="false">IF('Глубина-день'!J26="","",'Глубина-день'!J26)</f>
        <v>45499.9166666667</v>
      </c>
      <c r="K19" s="31" t="n">
        <f aca="false">IF('Глубина-день'!R26="","",'Глубина-день'!R26)</f>
        <v>0.5</v>
      </c>
      <c r="L19" s="190" t="e">
        <f aca="false">IF('глубина-день'!#ref!="","",'глубина-день'!#ref!)</f>
        <v>#VALUE!</v>
      </c>
      <c r="M19" s="26"/>
      <c r="N19" s="31"/>
      <c r="O19" s="191"/>
      <c r="P19" s="172"/>
      <c r="Q19" s="172"/>
      <c r="R19" s="172"/>
      <c r="S19" s="172"/>
      <c r="W19" s="172"/>
      <c r="X19" s="172"/>
      <c r="Y19" s="172"/>
      <c r="Z19" s="172"/>
      <c r="AA19" s="172"/>
      <c r="AB19" s="172"/>
      <c r="AC19" s="172"/>
      <c r="AD19" s="172"/>
    </row>
    <row r="20" customFormat="false" ht="12" hidden="false" customHeight="true" outlineLevel="0" collapsed="false">
      <c r="A20" s="31" t="n">
        <f aca="false">IF('Глубина-день'!A27="","",'Глубина-день'!A27)</f>
        <v>8</v>
      </c>
      <c r="B20" s="101" t="str">
        <f aca="false">IF('Глубина-день'!B27="","",'Глубина-день'!B27)</f>
        <v>Крепление</v>
      </c>
      <c r="C20" s="101" t="str">
        <f aca="false">IF('Глубина-день'!C27="","",'Глубина-день'!C27)</f>
        <v>Цементаж направления 245мм</v>
      </c>
      <c r="D20" s="31" t="n">
        <f aca="false">IF('Глубина-день'!E27="","",'Глубина-день'!E27)</f>
        <v>245</v>
      </c>
      <c r="E20" s="187" t="str">
        <f aca="false">IF('Глубина-день'!F27="","",'Глубина-день'!F27)</f>
        <v/>
      </c>
      <c r="F20" s="188" t="str">
        <f aca="false">IF('Глубина-день'!G27="","",'Глубина-день'!G27)</f>
        <v/>
      </c>
      <c r="G20" s="31" t="e">
        <f aca="false">IF('глубина-день'!#ref!="","",'глубина-день'!#ref!)</f>
        <v>#VALUE!</v>
      </c>
      <c r="H20" s="31" t="n">
        <f aca="false">IF('Глубина-день'!H27="","",'Глубина-день'!H27)</f>
        <v>80</v>
      </c>
      <c r="I20" s="31" t="n">
        <f aca="false">IF('Глубина-день'!I27="","",'Глубина-день'!I27)</f>
        <v>1.5</v>
      </c>
      <c r="J20" s="189" t="n">
        <f aca="false">IF('Глубина-день'!J27="","",'Глубина-день'!J27)</f>
        <v>45499.9791666667</v>
      </c>
      <c r="K20" s="31" t="n">
        <f aca="false">IF('Глубина-день'!R27="","",'Глубина-день'!R27)</f>
        <v>1.5</v>
      </c>
      <c r="L20" s="190" t="e">
        <f aca="false">IF('глубина-день'!#ref!="","",'глубина-день'!#ref!)</f>
        <v>#VALUE!</v>
      </c>
      <c r="M20" s="26"/>
      <c r="N20" s="31"/>
      <c r="O20" s="191"/>
      <c r="P20" s="172"/>
      <c r="Q20" s="172"/>
      <c r="R20" s="172"/>
      <c r="S20" s="172"/>
      <c r="W20" s="172"/>
      <c r="X20" s="172"/>
      <c r="Y20" s="172"/>
      <c r="Z20" s="172"/>
      <c r="AA20" s="172"/>
      <c r="AB20" s="172"/>
      <c r="AC20" s="172"/>
      <c r="AD20" s="172"/>
    </row>
    <row r="21" customFormat="false" ht="12" hidden="false" customHeight="true" outlineLevel="0" collapsed="false">
      <c r="A21" s="31" t="e">
        <f aca="false">IF('глубина-день'!#ref!="","",'глубина-день'!#ref!)</f>
        <v>#VALUE!</v>
      </c>
      <c r="B21" s="101" t="e">
        <f aca="false">IF('глубина-день'!#ref!="","",'глубина-день'!#ref!)</f>
        <v>#VALUE!</v>
      </c>
      <c r="C21" s="101" t="e">
        <f aca="false">IF('глубина-день'!#ref!="","",'глубина-день'!#ref!)</f>
        <v>#VALUE!</v>
      </c>
      <c r="D21" s="31" t="e">
        <f aca="false">IF('глубина-день'!#ref!="","",'глубина-день'!#ref!)</f>
        <v>#VALUE!</v>
      </c>
      <c r="E21" s="187" t="e">
        <f aca="false">IF('глубина-день'!#ref!="","",'глубина-день'!#ref!)</f>
        <v>#VALUE!</v>
      </c>
      <c r="F21" s="188" t="e">
        <f aca="false">IF('глубина-день'!#ref!="","",'глубина-день'!#ref!)</f>
        <v>#VALUE!</v>
      </c>
      <c r="G21" s="31" t="e">
        <f aca="false">IF('глубина-день'!#ref!="","",'глубина-день'!#ref!)</f>
        <v>#VALUE!</v>
      </c>
      <c r="H21" s="31" t="e">
        <f aca="false">IF('глубина-день'!#ref!="","",'глубина-день'!#ref!)</f>
        <v>#VALUE!</v>
      </c>
      <c r="I21" s="31" t="e">
        <f aca="false">IF('глубина-день'!#ref!="","",'глубина-день'!#ref!)</f>
        <v>#VALUE!</v>
      </c>
      <c r="J21" s="189" t="e">
        <f aca="false">IF('глубина-день'!#ref!="","",'глубина-день'!#ref!)</f>
        <v>#VALUE!</v>
      </c>
      <c r="K21" s="31" t="e">
        <f aca="false">IF('глубина-день'!#ref!="","",'глубина-день'!#ref!)</f>
        <v>#VALUE!</v>
      </c>
      <c r="L21" s="190" t="e">
        <f aca="false">IF('глубина-день'!#ref!="","",'глубина-день'!#ref!)</f>
        <v>#VALUE!</v>
      </c>
      <c r="M21" s="26"/>
      <c r="N21" s="31"/>
      <c r="O21" s="191"/>
      <c r="P21" s="172"/>
      <c r="Q21" s="172"/>
      <c r="R21" s="172"/>
      <c r="S21" s="172"/>
      <c r="W21" s="172"/>
      <c r="X21" s="172"/>
      <c r="Y21" s="172"/>
      <c r="Z21" s="172"/>
      <c r="AA21" s="172"/>
      <c r="AB21" s="172"/>
      <c r="AC21" s="172"/>
      <c r="AD21" s="172"/>
    </row>
    <row r="22" customFormat="false" ht="12" hidden="false" customHeight="true" outlineLevel="0" collapsed="false">
      <c r="A22" s="31" t="n">
        <f aca="false">IF('Глубина-день'!A29="","",'Глубина-день'!A29)</f>
        <v>10</v>
      </c>
      <c r="B22" s="101" t="str">
        <f aca="false">IF('Глубина-день'!B29="","",'Глубина-день'!B29)</f>
        <v>ПВО</v>
      </c>
      <c r="C22" s="101" t="str">
        <f aca="false">IF('Глубина-день'!C29="","",'Глубина-день'!C29)</f>
        <v>Монтаж ПВО (6ч). Опрессовка глухих плашек ППГ, БГ, БД, выкидных линий, крестовины с коренными задвижками, ЗБР (1,5ч).</v>
      </c>
      <c r="D22" s="31" t="n">
        <f aca="false">IF('Глубина-день'!E29="","",'Глубина-день'!E29)</f>
        <v>245</v>
      </c>
      <c r="E22" s="187" t="str">
        <f aca="false">IF('Глубина-день'!F29="","",'Глубина-день'!F29)</f>
        <v/>
      </c>
      <c r="F22" s="188" t="str">
        <f aca="false">IF('Глубина-день'!G29="","",'Глубина-день'!G29)</f>
        <v/>
      </c>
      <c r="G22" s="31" t="e">
        <f aca="false">IF('глубина-день'!#ref!="","",'глубина-день'!#ref!)</f>
        <v>#VALUE!</v>
      </c>
      <c r="H22" s="31" t="n">
        <f aca="false">IF('Глубина-день'!H29="","",'Глубина-день'!H29)</f>
        <v>80</v>
      </c>
      <c r="I22" s="31" t="n">
        <f aca="false">IF('Глубина-день'!I29="","",'Глубина-день'!I29)</f>
        <v>7.5</v>
      </c>
      <c r="J22" s="189" t="n">
        <f aca="false">IF('Глубина-день'!J29="","",'Глубина-день'!J29)</f>
        <v>45500.625</v>
      </c>
      <c r="K22" s="31" t="n">
        <f aca="false">IF('Глубина-день'!R29="","",'Глубина-день'!R29)</f>
        <v>7.5</v>
      </c>
      <c r="L22" s="190" t="e">
        <f aca="false">IF('глубина-день'!#ref!="","",'глубина-день'!#ref!)</f>
        <v>#VALUE!</v>
      </c>
      <c r="M22" s="26"/>
      <c r="N22" s="31"/>
      <c r="O22" s="191"/>
      <c r="P22" s="172"/>
      <c r="Q22" s="172"/>
      <c r="R22" s="172"/>
      <c r="S22" s="172"/>
      <c r="W22" s="172"/>
      <c r="X22" s="172"/>
      <c r="Y22" s="172"/>
      <c r="Z22" s="172"/>
      <c r="AA22" s="172"/>
      <c r="AB22" s="172"/>
      <c r="AC22" s="172"/>
      <c r="AD22" s="172"/>
    </row>
    <row r="23" customFormat="false" ht="12" hidden="false" customHeight="true" outlineLevel="0" collapsed="false">
      <c r="A23" s="31" t="n">
        <f aca="false">IF('Глубина-день'!A31="","",'Глубина-день'!A31)</f>
        <v>12</v>
      </c>
      <c r="B23" s="101" t="str">
        <f aca="false">IF('Глубина-день'!B31="","",'Глубина-день'!B31)</f>
        <v>СПО</v>
      </c>
      <c r="C23" s="101" t="str">
        <f aca="false">IF('Глубина-день'!C31="","",'Глубина-день'!C31)</f>
        <v>Cпуск КНБК (1ч). Опрессовка трубных плашек, ПУГ (1ч).</v>
      </c>
      <c r="D23" s="31" t="n">
        <f aca="false">IF('Глубина-день'!E31="","",'Глубина-день'!E31)</f>
        <v>178</v>
      </c>
      <c r="E23" s="187" t="n">
        <f aca="false">IF('Глубина-день'!F31="","",'Глубина-день'!F31)</f>
        <v>0</v>
      </c>
      <c r="F23" s="188" t="n">
        <f aca="false">IF('Глубина-день'!G31="","",'Глубина-день'!G31)</f>
        <v>80</v>
      </c>
      <c r="G23" s="31" t="e">
        <f aca="false">IF('глубина-день'!#ref!="","",'глубина-день'!#ref!)</f>
        <v>#VALUE!</v>
      </c>
      <c r="H23" s="31" t="n">
        <f aca="false">IF('Глубина-день'!H31="","",'Глубина-день'!H31)</f>
        <v>80</v>
      </c>
      <c r="I23" s="31" t="n">
        <f aca="false">IF('Глубина-день'!I31="","",'Глубина-день'!I31)</f>
        <v>2</v>
      </c>
      <c r="J23" s="189" t="n">
        <f aca="false">IF('Глубина-день'!J31="","",'Глубина-день'!J31)</f>
        <v>45500.8333333334</v>
      </c>
      <c r="K23" s="31" t="n">
        <f aca="false">IF('Глубина-день'!R31="","",'Глубина-день'!R31)</f>
        <v>2</v>
      </c>
      <c r="L23" s="190" t="e">
        <f aca="false">IF('глубина-день'!#ref!="","",'глубина-день'!#ref!)</f>
        <v>#VALUE!</v>
      </c>
      <c r="M23" s="26"/>
      <c r="N23" s="31"/>
      <c r="O23" s="191"/>
      <c r="P23" s="172"/>
      <c r="Q23" s="172"/>
      <c r="R23" s="172"/>
      <c r="S23" s="172"/>
      <c r="W23" s="172"/>
      <c r="X23" s="172"/>
      <c r="Y23" s="172"/>
      <c r="Z23" s="172"/>
      <c r="AA23" s="172"/>
      <c r="AB23" s="172"/>
      <c r="AC23" s="172"/>
      <c r="AD23" s="172"/>
    </row>
    <row r="24" customFormat="false" ht="12" hidden="false" customHeight="true" outlineLevel="0" collapsed="false">
      <c r="A24" s="31" t="n">
        <f aca="false">IF('Глубина-день'!A32="","",'Глубина-день'!A32)</f>
        <v>13</v>
      </c>
      <c r="B24" s="101" t="str">
        <f aca="false">IF('Глубина-день'!B32="","",'Глубина-день'!B32)</f>
        <v>Бурение</v>
      </c>
      <c r="C24" s="101" t="str">
        <f aca="false">IF('Глубина-день'!C32="","",'Глубина-день'!C32)</f>
        <v>Разбурка оснастки (ЦКОД, цем.стакан, БК) Чистка ЦСГО.</v>
      </c>
      <c r="D24" s="31" t="n">
        <f aca="false">IF('Глубина-день'!E32="","",'Глубина-день'!E32)</f>
        <v>178</v>
      </c>
      <c r="E24" s="187" t="n">
        <f aca="false">IF('Глубина-день'!F32="","",'Глубина-день'!F32)</f>
        <v>80</v>
      </c>
      <c r="F24" s="188" t="n">
        <f aca="false">IF('Глубина-день'!G32="","",'Глубина-день'!G32)</f>
        <v>82</v>
      </c>
      <c r="G24" s="31" t="e">
        <f aca="false">IF('глубина-день'!#ref!="","",'глубина-день'!#ref!)</f>
        <v>#VALUE!</v>
      </c>
      <c r="H24" s="31" t="n">
        <f aca="false">IF('Глубина-день'!H32="","",'Глубина-день'!H32)</f>
        <v>82</v>
      </c>
      <c r="I24" s="31" t="n">
        <f aca="false">IF('Глубина-день'!I32="","",'Глубина-день'!I32)</f>
        <v>2</v>
      </c>
      <c r="J24" s="189" t="n">
        <f aca="false">IF('Глубина-день'!J32="","",'Глубина-день'!J32)</f>
        <v>45500.9166666667</v>
      </c>
      <c r="K24" s="31" t="n">
        <f aca="false">IF('Глубина-день'!R32="","",'Глубина-день'!R32)</f>
        <v>2</v>
      </c>
      <c r="L24" s="190" t="e">
        <f aca="false">IF('глубина-день'!#ref!="","",'глубина-день'!#ref!)</f>
        <v>#VALUE!</v>
      </c>
      <c r="M24" s="26"/>
      <c r="N24" s="31"/>
      <c r="O24" s="191"/>
      <c r="P24" s="172"/>
      <c r="Q24" s="172"/>
      <c r="R24" s="172"/>
      <c r="S24" s="172"/>
      <c r="W24" s="172"/>
      <c r="X24" s="172"/>
      <c r="Y24" s="172"/>
      <c r="Z24" s="172"/>
      <c r="AA24" s="172"/>
      <c r="AB24" s="172"/>
      <c r="AC24" s="172"/>
      <c r="AD24" s="172"/>
    </row>
    <row r="25" customFormat="false" ht="12" hidden="false" customHeight="true" outlineLevel="0" collapsed="false">
      <c r="A25" s="31" t="n">
        <f aca="false">IF('Глубина-день'!A33="","",'Глубина-день'!A33)</f>
        <v>14</v>
      </c>
      <c r="B25" s="101" t="str">
        <f aca="false">IF('Глубина-день'!B33="","",'Глубина-день'!B33)</f>
        <v>Бурение</v>
      </c>
      <c r="C25" s="101" t="str">
        <f aca="false">IF('Глубина-день'!C33="","",'Глубина-день'!C33)</f>
        <v>Бурение под кондуктор (прокачка укрепляющих пачек ч/з каждые 150-200м) </v>
      </c>
      <c r="D25" s="31" t="n">
        <f aca="false">IF('Глубина-день'!E33="","",'Глубина-день'!E33)</f>
        <v>178</v>
      </c>
      <c r="E25" s="187" t="n">
        <f aca="false">IF('Глубина-день'!F33="","",'Глубина-день'!F33)</f>
        <v>82</v>
      </c>
      <c r="F25" s="188" t="n">
        <f aca="false">IF('Глубина-день'!G33="","",'Глубина-день'!G33)</f>
        <v>1500</v>
      </c>
      <c r="G25" s="31" t="e">
        <f aca="false">IF('глубина-день'!#ref!="","",'глубина-день'!#ref!)</f>
        <v>#VALUE!</v>
      </c>
      <c r="H25" s="31" t="n">
        <f aca="false">IF('Глубина-день'!H33="","",'Глубина-день'!H33)</f>
        <v>1500</v>
      </c>
      <c r="I25" s="31" t="n">
        <f aca="false">IF('Глубина-день'!I33="","",'Глубина-день'!I33)</f>
        <v>32</v>
      </c>
      <c r="J25" s="189" t="n">
        <f aca="false">IF('Глубина-день'!J33="","",'Глубина-день'!J33)</f>
        <v>45502.25</v>
      </c>
      <c r="K25" s="31" t="n">
        <f aca="false">IF('Глубина-день'!R33="","",'Глубина-день'!R33)</f>
        <v>32</v>
      </c>
      <c r="L25" s="190" t="e">
        <f aca="false">IF('глубина-день'!#ref!="","",'глубина-день'!#ref!)</f>
        <v>#VALUE!</v>
      </c>
      <c r="M25" s="26"/>
      <c r="N25" s="31"/>
      <c r="O25" s="191"/>
      <c r="P25" s="172"/>
      <c r="Q25" s="172"/>
      <c r="R25" s="172"/>
      <c r="S25" s="172"/>
      <c r="W25" s="172"/>
      <c r="X25" s="172"/>
      <c r="Y25" s="172"/>
      <c r="Z25" s="172"/>
      <c r="AA25" s="172"/>
      <c r="AB25" s="172"/>
      <c r="AC25" s="172"/>
      <c r="AD25" s="172"/>
    </row>
    <row r="26" customFormat="false" ht="12" hidden="false" customHeight="true" outlineLevel="0" collapsed="false">
      <c r="A26" s="31" t="n">
        <f aca="false">IF('Глубина-день'!A34="","",'Глубина-день'!A34)</f>
        <v>15</v>
      </c>
      <c r="B26" s="101" t="str">
        <f aca="false">IF('Глубина-день'!B34="","",'Глубина-день'!B34)</f>
        <v>Циркуляция и Обработка БР</v>
      </c>
      <c r="C26" s="101" t="str">
        <f aca="false">IF('Глубина-день'!C34="","",'Глубина-день'!C34)</f>
        <v>Промывка за 50 м до Хантымансийской свиты</v>
      </c>
      <c r="D26" s="31" t="n">
        <f aca="false">IF('Глубина-день'!E34="","",'Глубина-день'!E34)</f>
        <v>178</v>
      </c>
      <c r="E26" s="187" t="str">
        <f aca="false">IF('Глубина-день'!F34="","",'Глубина-день'!F34)</f>
        <v/>
      </c>
      <c r="F26" s="188" t="str">
        <f aca="false">IF('Глубина-день'!G34="","",'Глубина-день'!G34)</f>
        <v/>
      </c>
      <c r="G26" s="31" t="e">
        <f aca="false">IF('глубина-день'!#ref!="","",'глубина-день'!#ref!)</f>
        <v>#VALUE!</v>
      </c>
      <c r="H26" s="31" t="n">
        <f aca="false">IF('Глубина-день'!H34="","",'Глубина-день'!H34)</f>
        <v>1500</v>
      </c>
      <c r="I26" s="31" t="n">
        <f aca="false">IF('Глубина-день'!I34="","",'Глубина-день'!I34)</f>
        <v>2.5</v>
      </c>
      <c r="J26" s="189" t="n">
        <f aca="false">IF('Глубина-день'!J34="","",'Глубина-день'!J34)</f>
        <v>45502.3541666667</v>
      </c>
      <c r="K26" s="31" t="n">
        <f aca="false">IF('Глубина-день'!R34="","",'Глубина-день'!R34)</f>
        <v>2.5</v>
      </c>
      <c r="L26" s="190" t="e">
        <f aca="false">IF('глубина-день'!#ref!="","",'глубина-день'!#ref!)</f>
        <v>#VALUE!</v>
      </c>
      <c r="M26" s="26"/>
      <c r="N26" s="31"/>
      <c r="O26" s="191"/>
      <c r="P26" s="172"/>
      <c r="Q26" s="172"/>
      <c r="R26" s="172"/>
      <c r="S26" s="172"/>
      <c r="W26" s="172"/>
      <c r="X26" s="172"/>
      <c r="Y26" s="172"/>
      <c r="Z26" s="172"/>
      <c r="AA26" s="172"/>
      <c r="AB26" s="172"/>
      <c r="AC26" s="172"/>
      <c r="AD26" s="172"/>
    </row>
    <row r="27" customFormat="false" ht="12" hidden="false" customHeight="true" outlineLevel="0" collapsed="false">
      <c r="A27" s="31" t="n">
        <f aca="false">IF('Глубина-день'!A35="","",'Глубина-день'!A35)</f>
        <v>16</v>
      </c>
      <c r="B27" s="101" t="str">
        <f aca="false">IF('Глубина-день'!B35="","",'Глубина-день'!B35)</f>
        <v>Шаблонирование / проработка</v>
      </c>
      <c r="C27" s="101" t="str">
        <f aca="false">IF('Глубина-день'!C35="","",'Глубина-день'!C35)</f>
        <v>Шаблонирование (подъем) (по согласованию с РН по ТСБ)</v>
      </c>
      <c r="D27" s="31" t="n">
        <f aca="false">IF('Глубина-день'!E35="","",'Глубина-день'!E35)</f>
        <v>178</v>
      </c>
      <c r="E27" s="187" t="n">
        <f aca="false">IF('Глубина-день'!F35="","",'Глубина-день'!F35)</f>
        <v>1500</v>
      </c>
      <c r="F27" s="188" t="str">
        <f aca="false">IF('Глубина-день'!G35="","",'Глубина-день'!G35)</f>
        <v/>
      </c>
      <c r="G27" s="31" t="e">
        <f aca="false">IF('глубина-день'!#ref!="","",'глубина-день'!#ref!)</f>
        <v>#VALUE!</v>
      </c>
      <c r="H27" s="31" t="n">
        <f aca="false">IF('Глубина-день'!H35="","",'Глубина-день'!H35)</f>
        <v>1500</v>
      </c>
      <c r="I27" s="31" t="n">
        <f aca="false">IF('Глубина-день'!I35="","",'Глубина-день'!I35)</f>
        <v>7</v>
      </c>
      <c r="J27" s="189" t="n">
        <f aca="false">IF('Глубина-день'!J35="","",'Глубина-день'!J35)</f>
        <v>45502.6458333334</v>
      </c>
      <c r="K27" s="31" t="n">
        <f aca="false">IF('Глубина-день'!R35="","",'Глубина-день'!R35)</f>
        <v>7</v>
      </c>
      <c r="L27" s="190" t="e">
        <f aca="false">IF('глубина-день'!#ref!="","",'глубина-день'!#ref!)</f>
        <v>#VALUE!</v>
      </c>
      <c r="M27" s="26"/>
      <c r="N27" s="31"/>
      <c r="O27" s="191"/>
      <c r="P27" s="172"/>
      <c r="Q27" s="172"/>
      <c r="R27" s="172"/>
      <c r="S27" s="172"/>
      <c r="W27" s="172"/>
      <c r="X27" s="172"/>
      <c r="Y27" s="172"/>
      <c r="Z27" s="172"/>
      <c r="AA27" s="172"/>
      <c r="AB27" s="172"/>
      <c r="AC27" s="172"/>
      <c r="AD27" s="172"/>
    </row>
    <row r="28" customFormat="false" ht="12" hidden="false" customHeight="true" outlineLevel="0" collapsed="false">
      <c r="A28" s="31" t="n">
        <f aca="false">IF('Глубина-день'!A36="","",'Глубина-день'!A36)</f>
        <v>17</v>
      </c>
      <c r="B28" s="101" t="str">
        <f aca="false">IF('Глубина-день'!B36="","",'Глубина-день'!B36)</f>
        <v>Шаблонирование / проработка</v>
      </c>
      <c r="C28" s="101" t="str">
        <f aca="false">IF('Глубина-день'!C36="","",'Глубина-день'!C36)</f>
        <v>Шаблонирование (спуск) (по согласованию с РН по ТСБ)</v>
      </c>
      <c r="D28" s="31" t="n">
        <f aca="false">IF('Глубина-день'!E36="","",'Глубина-день'!E36)</f>
        <v>178</v>
      </c>
      <c r="E28" s="187" t="n">
        <f aca="false">IF('Глубина-день'!F36="","",'Глубина-день'!F36)</f>
        <v>80</v>
      </c>
      <c r="F28" s="188" t="n">
        <f aca="false">IF('Глубина-день'!G36="","",'Глубина-день'!G36)</f>
        <v>1500</v>
      </c>
      <c r="G28" s="31" t="e">
        <f aca="false">IF('глубина-день'!#ref!="","",'глубина-день'!#ref!)</f>
        <v>#VALUE!</v>
      </c>
      <c r="H28" s="31" t="n">
        <f aca="false">IF('Глубина-день'!H36="","",'Глубина-день'!H36)</f>
        <v>1500</v>
      </c>
      <c r="I28" s="31" t="n">
        <f aca="false">IF('Глубина-день'!I36="","",'Глубина-день'!I36)</f>
        <v>6</v>
      </c>
      <c r="J28" s="189" t="n">
        <f aca="false">IF('Глубина-день'!J36="","",'Глубина-день'!J36)</f>
        <v>45502.8958333334</v>
      </c>
      <c r="K28" s="31" t="n">
        <f aca="false">IF('Глубина-день'!R36="","",'Глубина-день'!R36)</f>
        <v>6</v>
      </c>
      <c r="L28" s="190" t="e">
        <f aca="false">IF('глубина-день'!#ref!="","",'глубина-день'!#ref!)</f>
        <v>#VALUE!</v>
      </c>
      <c r="M28" s="26"/>
      <c r="N28" s="31"/>
      <c r="O28" s="191"/>
      <c r="P28" s="172"/>
      <c r="Q28" s="172"/>
      <c r="R28" s="172"/>
      <c r="S28" s="172"/>
      <c r="W28" s="172"/>
      <c r="X28" s="172"/>
      <c r="Y28" s="172"/>
      <c r="Z28" s="172"/>
      <c r="AA28" s="172"/>
      <c r="AB28" s="172"/>
      <c r="AC28" s="172"/>
      <c r="AD28" s="172"/>
    </row>
    <row r="29" customFormat="false" ht="12" hidden="false" customHeight="true" outlineLevel="0" collapsed="false">
      <c r="A29" s="31" t="n">
        <f aca="false">IF('Глубина-день'!A37="","",'Глубина-день'!A37)</f>
        <v>18</v>
      </c>
      <c r="B29" s="101" t="str">
        <f aca="false">IF('Глубина-день'!B37="","",'Глубина-день'!B37)</f>
        <v>Циркуляция и Обработка БР</v>
      </c>
      <c r="C29" s="101" t="str">
        <f aca="false">IF('Глубина-день'!C37="","",'Глубина-день'!C37)</f>
        <v>Промывка. Обновление БР (замещение) (по согласованию с РН по ТСБ)</v>
      </c>
      <c r="D29" s="31" t="n">
        <f aca="false">IF('Глубина-день'!E37="","",'Глубина-день'!E37)</f>
        <v>178</v>
      </c>
      <c r="E29" s="187" t="str">
        <f aca="false">IF('Глубина-день'!F37="","",'Глубина-день'!F37)</f>
        <v/>
      </c>
      <c r="F29" s="188" t="str">
        <f aca="false">IF('Глубина-день'!G37="","",'Глубина-день'!G37)</f>
        <v/>
      </c>
      <c r="G29" s="31" t="e">
        <f aca="false">IF('глубина-день'!#ref!="","",'глубина-день'!#ref!)</f>
        <v>#VALUE!</v>
      </c>
      <c r="H29" s="31" t="n">
        <f aca="false">IF('Глубина-день'!H37="","",'Глубина-день'!H37)</f>
        <v>1500</v>
      </c>
      <c r="I29" s="31" t="n">
        <f aca="false">IF('Глубина-день'!I37="","",'Глубина-день'!I37)</f>
        <v>2</v>
      </c>
      <c r="J29" s="189" t="n">
        <f aca="false">IF('Глубина-день'!J37="","",'Глубина-день'!J37)</f>
        <v>45502.9791666667</v>
      </c>
      <c r="K29" s="31" t="n">
        <f aca="false">IF('Глубина-день'!R37="","",'Глубина-день'!R37)</f>
        <v>2</v>
      </c>
      <c r="L29" s="190" t="e">
        <f aca="false">IF('глубина-день'!#ref!="","",'глубина-день'!#ref!)</f>
        <v>#VALUE!</v>
      </c>
      <c r="M29" s="26"/>
      <c r="N29" s="31"/>
      <c r="O29" s="191"/>
      <c r="P29" s="172"/>
      <c r="Q29" s="172"/>
      <c r="R29" s="172"/>
      <c r="S29" s="172"/>
      <c r="W29" s="172"/>
      <c r="X29" s="172"/>
      <c r="Y29" s="172"/>
      <c r="Z29" s="172"/>
      <c r="AA29" s="172"/>
      <c r="AB29" s="172"/>
      <c r="AC29" s="172"/>
      <c r="AD29" s="172"/>
    </row>
    <row r="30" customFormat="false" ht="12" hidden="false" customHeight="true" outlineLevel="0" collapsed="false">
      <c r="A30" s="31" t="n">
        <f aca="false">IF('Глубина-день'!A38="","",'Глубина-день'!A38)</f>
        <v>19</v>
      </c>
      <c r="B30" s="101" t="str">
        <f aca="false">IF('Глубина-день'!B38="","",'Глубина-день'!B38)</f>
        <v>Бурение</v>
      </c>
      <c r="C30" s="101" t="str">
        <f aca="false">IF('Глубина-день'!C38="","",'Глубина-день'!C38)</f>
        <v>Бурение под кондуктор наращ.св. (прокачка укрепляющих пачек ч/з каждые 150-200м) </v>
      </c>
      <c r="D30" s="31" t="n">
        <f aca="false">IF('Глубина-день'!E38="","",'Глубина-день'!E38)</f>
        <v>178</v>
      </c>
      <c r="E30" s="187" t="n">
        <f aca="false">IF('Глубина-день'!F38="","",'Глубина-день'!F38)</f>
        <v>1500</v>
      </c>
      <c r="F30" s="188" t="n">
        <f aca="false">IF('Глубина-день'!G38="","",'Глубина-день'!G38)</f>
        <v>2100</v>
      </c>
      <c r="G30" s="31" t="e">
        <f aca="false">IF('глубина-день'!#ref!="","",'глубина-день'!#ref!)</f>
        <v>#VALUE!</v>
      </c>
      <c r="H30" s="31" t="n">
        <f aca="false">IF('Глубина-день'!H38="","",'Глубина-день'!H38)</f>
        <v>2100</v>
      </c>
      <c r="I30" s="31" t="n">
        <f aca="false">IF('Глубина-день'!I38="","",'Глубина-день'!I38)</f>
        <v>34</v>
      </c>
      <c r="J30" s="189" t="n">
        <f aca="false">IF('Глубина-день'!J38="","",'Глубина-день'!J38)</f>
        <v>45504.3958333334</v>
      </c>
      <c r="K30" s="31" t="n">
        <f aca="false">IF('Глубина-день'!R38="","",'Глубина-день'!R38)</f>
        <v>34</v>
      </c>
      <c r="L30" s="190" t="e">
        <f aca="false">IF('глубина-день'!#ref!="","",'глубина-день'!#ref!)</f>
        <v>#VALUE!</v>
      </c>
      <c r="M30" s="26"/>
      <c r="N30" s="31"/>
      <c r="O30" s="191"/>
      <c r="P30" s="172"/>
      <c r="Q30" s="172"/>
      <c r="R30" s="172"/>
      <c r="S30" s="172"/>
      <c r="W30" s="172"/>
      <c r="X30" s="172"/>
      <c r="Y30" s="172"/>
      <c r="Z30" s="172"/>
      <c r="AA30" s="172"/>
      <c r="AB30" s="172"/>
      <c r="AC30" s="172"/>
      <c r="AD30" s="172"/>
    </row>
    <row r="31" customFormat="false" ht="12" hidden="false" customHeight="true" outlineLevel="0" collapsed="false">
      <c r="A31" s="31" t="n">
        <f aca="false">IF('Глубина-день'!A47="","",'Глубина-день'!A47)</f>
        <v>28</v>
      </c>
      <c r="B31" s="101" t="str">
        <f aca="false">IF('Глубина-день'!B47="","",'Глубина-день'!B47)</f>
        <v>Подготовительные работы</v>
      </c>
      <c r="C31" s="101" t="str">
        <f aca="false">IF('Глубина-день'!C47="","",'Глубина-день'!C47)</f>
        <v>ПЗР к спуску 178мм ОК</v>
      </c>
      <c r="D31" s="31" t="n">
        <f aca="false">IF('Глубина-день'!E47="","",'Глубина-день'!E47)</f>
        <v>178</v>
      </c>
      <c r="E31" s="187" t="str">
        <f aca="false">IF('Глубина-день'!F47="","",'Глубина-день'!F47)</f>
        <v/>
      </c>
      <c r="F31" s="188" t="str">
        <f aca="false">IF('Глубина-день'!G47="","",'Глубина-день'!G47)</f>
        <v/>
      </c>
      <c r="G31" s="31" t="e">
        <f aca="false">IF('глубина-день'!#ref!="","",'глубина-день'!#ref!)</f>
        <v>#VALUE!</v>
      </c>
      <c r="H31" s="31" t="n">
        <f aca="false">IF('Глубина-день'!H47="","",'Глубина-день'!H47)</f>
        <v>2543.15</v>
      </c>
      <c r="I31" s="31" t="n">
        <f aca="false">IF('Глубина-день'!I47="","",'Глубина-день'!I47)</f>
        <v>1</v>
      </c>
      <c r="J31" s="189" t="n">
        <f aca="false">IF('Глубина-день'!J47="","",'Глубина-день'!J47)</f>
        <v>45507.4791666667</v>
      </c>
      <c r="K31" s="31" t="n">
        <f aca="false">IF('Глубина-день'!R47="","",'Глубина-день'!R47)</f>
        <v>1</v>
      </c>
      <c r="L31" s="190" t="e">
        <f aca="false">IF('глубина-день'!#ref!="","",'глубина-день'!#ref!)</f>
        <v>#VALUE!</v>
      </c>
      <c r="M31" s="26"/>
      <c r="N31" s="31"/>
      <c r="O31" s="191"/>
      <c r="P31" s="172"/>
      <c r="Q31" s="172"/>
      <c r="R31" s="172"/>
      <c r="S31" s="172"/>
      <c r="W31" s="172"/>
      <c r="X31" s="172"/>
      <c r="Y31" s="172"/>
      <c r="Z31" s="172"/>
      <c r="AA31" s="172"/>
      <c r="AB31" s="172"/>
      <c r="AC31" s="172"/>
      <c r="AD31" s="172"/>
    </row>
    <row r="32" customFormat="false" ht="12" hidden="false" customHeight="true" outlineLevel="0" collapsed="false">
      <c r="A32" s="31" t="n">
        <f aca="false">IF('Глубина-день'!A48="","",'Глубина-день'!A48)</f>
        <v>29</v>
      </c>
      <c r="B32" s="101" t="str">
        <f aca="false">IF('Глубина-день'!B48="","",'Глубина-день'!B48)</f>
        <v>Крепление</v>
      </c>
      <c r="C32" s="101" t="str">
        <f aca="false">IF('Глубина-день'!C48="","",'Глубина-день'!C48)</f>
        <v>Спуск 178мм ОК с промывками</v>
      </c>
      <c r="D32" s="31" t="n">
        <f aca="false">IF('Глубина-день'!E48="","",'Глубина-день'!E48)</f>
        <v>178</v>
      </c>
      <c r="E32" s="187" t="str">
        <f aca="false">IF('Глубина-день'!F48="","",'Глубина-день'!F48)</f>
        <v/>
      </c>
      <c r="F32" s="188" t="str">
        <f aca="false">IF('Глубина-день'!G48="","",'Глубина-день'!G48)</f>
        <v/>
      </c>
      <c r="G32" s="31" t="e">
        <f aca="false">IF('глубина-день'!#ref!="","",'глубина-день'!#ref!)</f>
        <v>#VALUE!</v>
      </c>
      <c r="H32" s="31" t="n">
        <f aca="false">IF('Глубина-день'!H48="","",'Глубина-день'!H48)</f>
        <v>2543.15</v>
      </c>
      <c r="I32" s="31" t="n">
        <f aca="false">IF('Глубина-день'!I48="","",'Глубина-день'!I48)</f>
        <v>18</v>
      </c>
      <c r="J32" s="189" t="n">
        <f aca="false">IF('Глубина-день'!J48="","",'Глубина-день'!J48)</f>
        <v>45508.2291666667</v>
      </c>
      <c r="K32" s="31" t="n">
        <f aca="false">IF('Глубина-день'!R48="","",'Глубина-день'!R48)</f>
        <v>18</v>
      </c>
      <c r="L32" s="190" t="e">
        <f aca="false">IF('глубина-день'!#ref!="","",'глубина-день'!#ref!)</f>
        <v>#VALUE!</v>
      </c>
      <c r="M32" s="26"/>
      <c r="N32" s="31"/>
      <c r="O32" s="191"/>
      <c r="P32" s="172"/>
      <c r="Q32" s="172"/>
      <c r="R32" s="172"/>
      <c r="S32" s="172"/>
      <c r="W32" s="172"/>
      <c r="X32" s="172"/>
      <c r="Y32" s="172"/>
      <c r="Z32" s="172"/>
      <c r="AA32" s="172"/>
      <c r="AB32" s="172"/>
      <c r="AC32" s="172"/>
      <c r="AD32" s="172"/>
    </row>
    <row r="33" customFormat="false" ht="12" hidden="false" customHeight="true" outlineLevel="0" collapsed="false">
      <c r="A33" s="31" t="n">
        <f aca="false">IF('Глубина-день'!A49="","",'Глубина-день'!A49)</f>
        <v>30</v>
      </c>
      <c r="B33" s="101" t="str">
        <f aca="false">IF('Глубина-день'!B49="","",'Глубина-день'!B49)</f>
        <v>Циркуляция и Обработка БР</v>
      </c>
      <c r="C33" s="101" t="str">
        <f aca="false">IF('Глубина-день'!C49="","",'Глубина-день'!C49)</f>
        <v>Промывка</v>
      </c>
      <c r="D33" s="31" t="n">
        <f aca="false">IF('Глубина-день'!E49="","",'Глубина-день'!E49)</f>
        <v>178</v>
      </c>
      <c r="E33" s="187" t="str">
        <f aca="false">IF('Глубина-день'!F49="","",'Глубина-день'!F49)</f>
        <v/>
      </c>
      <c r="F33" s="188" t="str">
        <f aca="false">IF('Глубина-день'!G49="","",'Глубина-день'!G49)</f>
        <v/>
      </c>
      <c r="G33" s="31" t="e">
        <f aca="false">IF('глубина-день'!#ref!="","",'глубина-день'!#ref!)</f>
        <v>#VALUE!</v>
      </c>
      <c r="H33" s="31" t="n">
        <f aca="false">IF('Глубина-день'!H49="","",'Глубина-день'!H49)</f>
        <v>2543.15</v>
      </c>
      <c r="I33" s="31" t="n">
        <f aca="false">IF('Глубина-день'!I49="","",'Глубина-день'!I49)</f>
        <v>2</v>
      </c>
      <c r="J33" s="189" t="n">
        <f aca="false">IF('Глубина-день'!J49="","",'Глубина-день'!J49)</f>
        <v>45508.3125</v>
      </c>
      <c r="K33" s="31" t="n">
        <f aca="false">IF('Глубина-день'!R49="","",'Глубина-день'!R49)</f>
        <v>2</v>
      </c>
      <c r="L33" s="190" t="e">
        <f aca="false">IF('глубина-день'!#ref!="","",'глубина-день'!#ref!)</f>
        <v>#VALUE!</v>
      </c>
      <c r="M33" s="26"/>
      <c r="N33" s="31"/>
      <c r="O33" s="191"/>
      <c r="P33" s="172"/>
      <c r="Q33" s="172"/>
      <c r="R33" s="172"/>
      <c r="S33" s="172"/>
      <c r="W33" s="172"/>
      <c r="X33" s="172"/>
      <c r="Y33" s="172"/>
      <c r="Z33" s="172"/>
      <c r="AA33" s="172"/>
      <c r="AB33" s="172"/>
      <c r="AC33" s="172"/>
      <c r="AD33" s="172"/>
    </row>
    <row r="34" customFormat="false" ht="12" hidden="false" customHeight="true" outlineLevel="0" collapsed="false">
      <c r="A34" s="31" t="n">
        <f aca="false">IF('Глубина-день'!A50="","",'Глубина-день'!A50)</f>
        <v>31</v>
      </c>
      <c r="B34" s="101" t="str">
        <f aca="false">IF('Глубина-день'!B50="","",'Глубина-день'!B50)</f>
        <v>Крепление</v>
      </c>
      <c r="C34" s="101" t="str">
        <f aca="false">IF('Глубина-день'!C50="","",'Глубина-день'!C50)</f>
        <v>Цементирование 178мм ОК</v>
      </c>
      <c r="D34" s="31" t="n">
        <f aca="false">IF('Глубина-день'!E50="","",'Глубина-день'!E50)</f>
        <v>178</v>
      </c>
      <c r="E34" s="187" t="str">
        <f aca="false">IF('Глубина-день'!F50="","",'Глубина-день'!F50)</f>
        <v/>
      </c>
      <c r="F34" s="188" t="str">
        <f aca="false">IF('Глубина-день'!G50="","",'Глубина-день'!G50)</f>
        <v/>
      </c>
      <c r="G34" s="31" t="e">
        <f aca="false">IF('глубина-день'!#ref!="","",'глубина-день'!#ref!)</f>
        <v>#VALUE!</v>
      </c>
      <c r="H34" s="31" t="n">
        <f aca="false">IF('Глубина-день'!H50="","",'Глубина-день'!H50)</f>
        <v>2543.15</v>
      </c>
      <c r="I34" s="31" t="n">
        <f aca="false">IF('Глубина-день'!I50="","",'Глубина-день'!I50)</f>
        <v>4</v>
      </c>
      <c r="J34" s="189" t="n">
        <f aca="false">IF('Глубина-день'!J50="","",'Глубина-день'!J50)</f>
        <v>45508.4791666667</v>
      </c>
      <c r="K34" s="31" t="n">
        <f aca="false">IF('Глубина-день'!R50="","",'Глубина-день'!R50)</f>
        <v>4</v>
      </c>
      <c r="L34" s="190" t="e">
        <f aca="false">IF('глубина-день'!#ref!="","",'глубина-день'!#ref!)</f>
        <v>#VALUE!</v>
      </c>
      <c r="M34" s="26"/>
      <c r="N34" s="31"/>
      <c r="O34" s="191"/>
      <c r="P34" s="172"/>
      <c r="Q34" s="172"/>
      <c r="R34" s="172"/>
      <c r="S34" s="172"/>
      <c r="W34" s="172"/>
      <c r="X34" s="172"/>
      <c r="Y34" s="172"/>
      <c r="Z34" s="172"/>
      <c r="AA34" s="172"/>
      <c r="AB34" s="172"/>
      <c r="AC34" s="172"/>
      <c r="AD34" s="172"/>
    </row>
    <row r="35" customFormat="false" ht="12" hidden="false" customHeight="true" outlineLevel="0" collapsed="false">
      <c r="A35" s="31" t="n">
        <f aca="false">IF('Глубина-день'!A51="","",'Глубина-день'!A51)</f>
        <v>32</v>
      </c>
      <c r="B35" s="101" t="str">
        <f aca="false">IF('Глубина-день'!B51="","",'Глубина-день'!B51)</f>
        <v>Крепление</v>
      </c>
      <c r="C35" s="101" t="str">
        <f aca="false">IF('Глубина-день'!C51="","",'Глубина-день'!C51)</f>
        <v>Перемонтаж (Демонтаж ПВО ( переоборудование устья скважины), чистка емкостей, вывоз/заготовка РУО</v>
      </c>
      <c r="D35" s="31" t="n">
        <f aca="false">IF('Глубина-день'!E51="","",'Глубина-день'!E51)</f>
        <v>178</v>
      </c>
      <c r="E35" s="187" t="str">
        <f aca="false">IF('Глубина-день'!F51="","",'Глубина-день'!F51)</f>
        <v/>
      </c>
      <c r="F35" s="188" t="str">
        <f aca="false">IF('Глубина-день'!G51="","",'Глубина-день'!G51)</f>
        <v/>
      </c>
      <c r="G35" s="31" t="e">
        <f aca="false">IF('глубина-день'!#ref!="","",'глубина-день'!#ref!)</f>
        <v>#VALUE!</v>
      </c>
      <c r="H35" s="31" t="n">
        <f aca="false">IF('Глубина-день'!H51="","",'Глубина-день'!H51)</f>
        <v>2543.15</v>
      </c>
      <c r="I35" s="31" t="n">
        <f aca="false">IF('Глубина-день'!I51="","",'Глубина-день'!I51)</f>
        <v>4</v>
      </c>
      <c r="J35" s="189" t="n">
        <f aca="false">IF('Глубина-день'!J51="","",'Глубина-день'!J51)</f>
        <v>45508.6458333333</v>
      </c>
      <c r="K35" s="31" t="n">
        <f aca="false">IF('Глубина-день'!R51="","",'Глубина-день'!R51)</f>
        <v>4</v>
      </c>
      <c r="L35" s="190" t="e">
        <f aca="false">IF('глубина-день'!#ref!="","",'глубина-день'!#ref!)</f>
        <v>#VALUE!</v>
      </c>
      <c r="M35" s="26"/>
      <c r="N35" s="31"/>
      <c r="O35" s="191"/>
      <c r="P35" s="172"/>
      <c r="Q35" s="172"/>
      <c r="R35" s="172"/>
      <c r="S35" s="172"/>
      <c r="W35" s="172"/>
      <c r="X35" s="172"/>
      <c r="Y35" s="172"/>
      <c r="Z35" s="172"/>
      <c r="AA35" s="172"/>
      <c r="AB35" s="172"/>
      <c r="AC35" s="172"/>
      <c r="AD35" s="172"/>
    </row>
    <row r="36" customFormat="false" ht="12" hidden="false" customHeight="true" outlineLevel="0" collapsed="false">
      <c r="A36" s="31" t="n">
        <f aca="false">IF('Глубина-день'!A52="","",'Глубина-день'!A52)</f>
        <v>33</v>
      </c>
      <c r="B36" s="101" t="str">
        <f aca="false">IF('Глубина-день'!B52="","",'Глубина-день'!B52)</f>
        <v>Крепление</v>
      </c>
      <c r="C36" s="101" t="str">
        <f aca="false">IF('Глубина-день'!C52="","",'Глубина-день'!C52)</f>
        <v>Перемонтаж (Монтаж ПВО повторный (смена плашек ПВО), ЗБР, чистка емкостей, вывоз/заготовка РУО</v>
      </c>
      <c r="D36" s="31" t="n">
        <f aca="false">IF('Глубина-день'!E52="","",'Глубина-день'!E52)</f>
        <v>178</v>
      </c>
      <c r="E36" s="187" t="str">
        <f aca="false">IF('Глубина-день'!F52="","",'Глубина-день'!F52)</f>
        <v/>
      </c>
      <c r="F36" s="188" t="str">
        <f aca="false">IF('Глубина-день'!G52="","",'Глубина-день'!G52)</f>
        <v/>
      </c>
      <c r="G36" s="31" t="e">
        <f aca="false">IF('глубина-день'!#ref!="","",'глубина-день'!#ref!)</f>
        <v>#VALUE!</v>
      </c>
      <c r="H36" s="31" t="n">
        <f aca="false">IF('Глубина-день'!H52="","",'Глубина-день'!H52)</f>
        <v>2543.15</v>
      </c>
      <c r="I36" s="31" t="n">
        <f aca="false">IF('Глубина-день'!I52="","",'Глубина-день'!I52)</f>
        <v>6</v>
      </c>
      <c r="J36" s="189" t="n">
        <f aca="false">IF('Глубина-день'!J52="","",'Глубина-день'!J52)</f>
        <v>45508.8958333333</v>
      </c>
      <c r="K36" s="31" t="n">
        <f aca="false">IF('Глубина-день'!R52="","",'Глубина-день'!R52)</f>
        <v>6</v>
      </c>
      <c r="L36" s="190" t="e">
        <f aca="false">IF('глубина-день'!#ref!="","",'глубина-день'!#ref!)</f>
        <v>#VALUE!</v>
      </c>
      <c r="M36" s="26"/>
      <c r="N36" s="31"/>
      <c r="O36" s="191"/>
      <c r="P36" s="172"/>
      <c r="Q36" s="172"/>
      <c r="R36" s="172"/>
      <c r="S36" s="172"/>
      <c r="W36" s="172"/>
      <c r="X36" s="172"/>
      <c r="Y36" s="172"/>
      <c r="Z36" s="172"/>
      <c r="AA36" s="172"/>
      <c r="AB36" s="172"/>
      <c r="AC36" s="172"/>
      <c r="AD36" s="172"/>
    </row>
    <row r="37" customFormat="false" ht="12" hidden="false" customHeight="true" outlineLevel="0" collapsed="false">
      <c r="A37" s="31" t="e">
        <f aca="false">IF('глубина-день'!#ref!="","",'глубина-день'!#ref!)</f>
        <v>#VALUE!</v>
      </c>
      <c r="B37" s="101" t="e">
        <f aca="false">IF('глубина-день'!#ref!="","",'глубина-день'!#ref!)</f>
        <v>#VALUE!</v>
      </c>
      <c r="C37" s="101" t="e">
        <f aca="false">IF('глубина-день'!#ref!="","",'глубина-день'!#ref!)</f>
        <v>#VALUE!</v>
      </c>
      <c r="D37" s="31" t="e">
        <f aca="false">IF('глубина-день'!#ref!="","",'глубина-день'!#ref!)</f>
        <v>#VALUE!</v>
      </c>
      <c r="E37" s="187" t="e">
        <f aca="false">IF('глубина-день'!#ref!="","",'глубина-день'!#ref!)</f>
        <v>#VALUE!</v>
      </c>
      <c r="F37" s="188" t="e">
        <f aca="false">IF('глубина-день'!#ref!="","",'глубина-день'!#ref!)</f>
        <v>#VALUE!</v>
      </c>
      <c r="G37" s="31" t="e">
        <f aca="false">IF('глубина-день'!#ref!="","",'глубина-день'!#ref!)</f>
        <v>#VALUE!</v>
      </c>
      <c r="H37" s="31" t="e">
        <f aca="false">IF('глубина-день'!#ref!="","",'глубина-день'!#ref!)</f>
        <v>#VALUE!</v>
      </c>
      <c r="I37" s="31" t="e">
        <f aca="false">IF('глубина-день'!#ref!="","",'глубина-день'!#ref!)</f>
        <v>#VALUE!</v>
      </c>
      <c r="J37" s="189" t="e">
        <f aca="false">IF('глубина-день'!#ref!="","",'глубина-день'!#ref!)</f>
        <v>#VALUE!</v>
      </c>
      <c r="K37" s="31" t="e">
        <f aca="false">IF('глубина-день'!#ref!="","",'глубина-день'!#ref!)</f>
        <v>#VALUE!</v>
      </c>
      <c r="L37" s="190" t="e">
        <f aca="false">IF('глубина-день'!#ref!="","",'глубина-день'!#ref!)</f>
        <v>#VALUE!</v>
      </c>
      <c r="M37" s="26"/>
      <c r="N37" s="31"/>
      <c r="O37" s="191"/>
      <c r="P37" s="172"/>
      <c r="Q37" s="172"/>
      <c r="R37" s="172"/>
      <c r="S37" s="172"/>
      <c r="W37" s="172"/>
      <c r="X37" s="172"/>
      <c r="Y37" s="172"/>
      <c r="Z37" s="172"/>
      <c r="AA37" s="172"/>
      <c r="AB37" s="172"/>
      <c r="AC37" s="172"/>
      <c r="AD37" s="172"/>
    </row>
    <row r="38" customFormat="false" ht="12" hidden="false" customHeight="true" outlineLevel="0" collapsed="false">
      <c r="A38" s="31" t="e">
        <f aca="false">IF('глубина-день'!#ref!="","",'глубина-день'!#ref!)</f>
        <v>#VALUE!</v>
      </c>
      <c r="B38" s="101" t="e">
        <f aca="false">IF('глубина-день'!#ref!="","",'глубина-день'!#ref!)</f>
        <v>#VALUE!</v>
      </c>
      <c r="C38" s="101" t="e">
        <f aca="false">IF('глубина-день'!#ref!="","",'глубина-день'!#ref!)</f>
        <v>#VALUE!</v>
      </c>
      <c r="D38" s="31" t="e">
        <f aca="false">IF('глубина-день'!#ref!="","",'глубина-день'!#ref!)</f>
        <v>#VALUE!</v>
      </c>
      <c r="E38" s="187" t="e">
        <f aca="false">IF('глубина-день'!#ref!="","",'глубина-день'!#ref!)</f>
        <v>#VALUE!</v>
      </c>
      <c r="F38" s="188" t="e">
        <f aca="false">IF('глубина-день'!#ref!="","",'глубина-день'!#ref!)</f>
        <v>#VALUE!</v>
      </c>
      <c r="G38" s="31" t="e">
        <f aca="false">IF('глубина-день'!#ref!="","",'глубина-день'!#ref!)</f>
        <v>#VALUE!</v>
      </c>
      <c r="H38" s="31" t="e">
        <f aca="false">IF('глубина-день'!#ref!="","",'глубина-день'!#ref!)</f>
        <v>#VALUE!</v>
      </c>
      <c r="I38" s="31" t="e">
        <f aca="false">IF('глубина-день'!#ref!="","",'глубина-день'!#ref!)</f>
        <v>#VALUE!</v>
      </c>
      <c r="J38" s="189" t="e">
        <f aca="false">IF('глубина-день'!#ref!="","",'глубина-день'!#ref!)</f>
        <v>#VALUE!</v>
      </c>
      <c r="K38" s="31" t="e">
        <f aca="false">IF('глубина-день'!#ref!="","",'глубина-день'!#ref!)</f>
        <v>#VALUE!</v>
      </c>
      <c r="L38" s="190" t="e">
        <f aca="false">IF('глубина-день'!#ref!="","",'глубина-день'!#ref!)</f>
        <v>#VALUE!</v>
      </c>
      <c r="M38" s="26"/>
      <c r="N38" s="31"/>
      <c r="O38" s="191"/>
      <c r="P38" s="172"/>
      <c r="Q38" s="172"/>
      <c r="R38" s="172"/>
      <c r="S38" s="172"/>
      <c r="W38" s="172"/>
      <c r="X38" s="172"/>
      <c r="Y38" s="172"/>
      <c r="Z38" s="172"/>
      <c r="AA38" s="172"/>
      <c r="AB38" s="172"/>
      <c r="AC38" s="172"/>
      <c r="AD38" s="172"/>
    </row>
    <row r="39" customFormat="false" ht="12" hidden="false" customHeight="true" outlineLevel="0" collapsed="false">
      <c r="A39" s="31" t="e">
        <f aca="false">IF('глубина-день'!#ref!="","",'глубина-день'!#ref!)</f>
        <v>#VALUE!</v>
      </c>
      <c r="B39" s="101" t="e">
        <f aca="false">IF('глубина-день'!#ref!="","",'глубина-день'!#ref!)</f>
        <v>#VALUE!</v>
      </c>
      <c r="C39" s="101" t="e">
        <f aca="false">IF('глубина-день'!#ref!="","",'глубина-день'!#ref!)</f>
        <v>#VALUE!</v>
      </c>
      <c r="D39" s="31" t="e">
        <f aca="false">IF('глубина-день'!#ref!="","",'глубина-день'!#ref!)</f>
        <v>#VALUE!</v>
      </c>
      <c r="E39" s="187" t="e">
        <f aca="false">IF('глубина-день'!#ref!="","",'глубина-день'!#ref!)</f>
        <v>#VALUE!</v>
      </c>
      <c r="F39" s="188" t="e">
        <f aca="false">IF('глубина-день'!#ref!="","",'глубина-день'!#ref!)</f>
        <v>#VALUE!</v>
      </c>
      <c r="G39" s="31" t="e">
        <f aca="false">IF('глубина-день'!#ref!="","",'глубина-день'!#ref!)</f>
        <v>#VALUE!</v>
      </c>
      <c r="H39" s="31" t="e">
        <f aca="false">IF('глубина-день'!#ref!="","",'глубина-день'!#ref!)</f>
        <v>#VALUE!</v>
      </c>
      <c r="I39" s="31" t="e">
        <f aca="false">IF('глубина-день'!#ref!="","",'глубина-день'!#ref!)</f>
        <v>#VALUE!</v>
      </c>
      <c r="J39" s="189" t="e">
        <f aca="false">IF('глубина-день'!#ref!="","",'глубина-день'!#ref!)</f>
        <v>#VALUE!</v>
      </c>
      <c r="K39" s="31" t="e">
        <f aca="false">IF('глубина-день'!#ref!="","",'глубина-день'!#ref!)</f>
        <v>#VALUE!</v>
      </c>
      <c r="L39" s="190" t="e">
        <f aca="false">IF('глубина-день'!#ref!="","",'глубина-день'!#ref!)</f>
        <v>#VALUE!</v>
      </c>
      <c r="M39" s="26"/>
      <c r="N39" s="31"/>
      <c r="O39" s="191"/>
      <c r="P39" s="172"/>
      <c r="Q39" s="172"/>
      <c r="R39" s="172"/>
      <c r="S39" s="172"/>
      <c r="W39" s="172"/>
      <c r="X39" s="172"/>
      <c r="Y39" s="172"/>
      <c r="Z39" s="172"/>
      <c r="AA39" s="172"/>
      <c r="AB39" s="172"/>
      <c r="AC39" s="172"/>
      <c r="AD39" s="172"/>
    </row>
    <row r="40" customFormat="false" ht="12" hidden="false" customHeight="true" outlineLevel="0" collapsed="false">
      <c r="A40" s="31" t="e">
        <f aca="false">IF('глубина-день'!#ref!="","",'глубина-день'!#ref!)</f>
        <v>#VALUE!</v>
      </c>
      <c r="B40" s="101" t="e">
        <f aca="false">IF('глубина-день'!#ref!="","",'глубина-день'!#ref!)</f>
        <v>#VALUE!</v>
      </c>
      <c r="C40" s="101" t="e">
        <f aca="false">IF('глубина-день'!#ref!="","",'глубина-день'!#ref!)</f>
        <v>#VALUE!</v>
      </c>
      <c r="D40" s="31" t="e">
        <f aca="false">IF('глубина-день'!#ref!="","",'глубина-день'!#ref!)</f>
        <v>#VALUE!</v>
      </c>
      <c r="E40" s="187" t="e">
        <f aca="false">IF('глубина-день'!#ref!="","",'глубина-день'!#ref!)</f>
        <v>#VALUE!</v>
      </c>
      <c r="F40" s="188" t="e">
        <f aca="false">IF('глубина-день'!#ref!="","",'глубина-день'!#ref!)</f>
        <v>#VALUE!</v>
      </c>
      <c r="G40" s="31" t="e">
        <f aca="false">IF('глубина-день'!#ref!="","",'глубина-день'!#ref!)</f>
        <v>#VALUE!</v>
      </c>
      <c r="H40" s="31" t="e">
        <f aca="false">IF('глубина-день'!#ref!="","",'глубина-день'!#ref!)</f>
        <v>#VALUE!</v>
      </c>
      <c r="I40" s="31" t="e">
        <f aca="false">IF('глубина-день'!#ref!="","",'глубина-день'!#ref!)</f>
        <v>#VALUE!</v>
      </c>
      <c r="J40" s="189" t="e">
        <f aca="false">IF('глубина-день'!#ref!="","",'глубина-день'!#ref!)</f>
        <v>#VALUE!</v>
      </c>
      <c r="K40" s="31" t="e">
        <f aca="false">IF('глубина-день'!#ref!="","",'глубина-день'!#ref!)</f>
        <v>#VALUE!</v>
      </c>
      <c r="L40" s="190" t="e">
        <f aca="false">IF('глубина-день'!#ref!="","",'глубина-день'!#ref!)</f>
        <v>#VALUE!</v>
      </c>
      <c r="M40" s="26"/>
      <c r="N40" s="31"/>
      <c r="O40" s="191"/>
      <c r="P40" s="172"/>
      <c r="Q40" s="172"/>
      <c r="R40" s="172"/>
      <c r="S40" s="172"/>
      <c r="W40" s="172"/>
      <c r="X40" s="172"/>
      <c r="Y40" s="172"/>
      <c r="Z40" s="172"/>
      <c r="AA40" s="172"/>
      <c r="AB40" s="172"/>
      <c r="AC40" s="172"/>
      <c r="AD40" s="172"/>
    </row>
    <row r="41" customFormat="false" ht="12" hidden="false" customHeight="true" outlineLevel="0" collapsed="false">
      <c r="A41" s="31" t="e">
        <f aca="false">IF('глубина-день'!#ref!="","",'глубина-день'!#ref!)</f>
        <v>#VALUE!</v>
      </c>
      <c r="B41" s="101" t="e">
        <f aca="false">IF('глубина-день'!#ref!="","",'глубина-день'!#ref!)</f>
        <v>#VALUE!</v>
      </c>
      <c r="C41" s="101" t="e">
        <f aca="false">IF('глубина-день'!#ref!="","",'глубина-день'!#ref!)</f>
        <v>#VALUE!</v>
      </c>
      <c r="D41" s="31" t="e">
        <f aca="false">IF('глубина-день'!#ref!="","",'глубина-день'!#ref!)</f>
        <v>#VALUE!</v>
      </c>
      <c r="E41" s="187" t="e">
        <f aca="false">IF('глубина-день'!#ref!="","",'глубина-день'!#ref!)</f>
        <v>#VALUE!</v>
      </c>
      <c r="F41" s="188" t="e">
        <f aca="false">IF('глубина-день'!#ref!="","",'глубина-день'!#ref!)</f>
        <v>#VALUE!</v>
      </c>
      <c r="G41" s="31" t="e">
        <f aca="false">IF('глубина-день'!#ref!="","",'глубина-день'!#ref!)</f>
        <v>#VALUE!</v>
      </c>
      <c r="H41" s="31" t="e">
        <f aca="false">IF('глубина-день'!#ref!="","",'глубина-день'!#ref!)</f>
        <v>#VALUE!</v>
      </c>
      <c r="I41" s="31" t="e">
        <f aca="false">IF('глубина-день'!#ref!="","",'глубина-день'!#ref!)</f>
        <v>#VALUE!</v>
      </c>
      <c r="J41" s="189" t="e">
        <f aca="false">IF('глубина-день'!#ref!="","",'глубина-день'!#ref!)</f>
        <v>#VALUE!</v>
      </c>
      <c r="K41" s="31" t="e">
        <f aca="false">IF('глубина-день'!#ref!="","",'глубина-день'!#ref!)</f>
        <v>#VALUE!</v>
      </c>
      <c r="L41" s="190" t="e">
        <f aca="false">IF('глубина-день'!#ref!="","",'глубина-день'!#ref!)</f>
        <v>#VALUE!</v>
      </c>
      <c r="M41" s="26"/>
      <c r="N41" s="31"/>
      <c r="O41" s="191"/>
      <c r="P41" s="172"/>
      <c r="Q41" s="172"/>
      <c r="R41" s="172"/>
      <c r="S41" s="172"/>
      <c r="W41" s="172"/>
      <c r="X41" s="172"/>
      <c r="Y41" s="172"/>
      <c r="Z41" s="172"/>
      <c r="AA41" s="172"/>
      <c r="AB41" s="172"/>
      <c r="AC41" s="172"/>
      <c r="AD41" s="172"/>
    </row>
    <row r="42" customFormat="false" ht="12" hidden="false" customHeight="true" outlineLevel="0" collapsed="false">
      <c r="A42" s="31" t="e">
        <f aca="false">IF('глубина-день'!#ref!="","",'глубина-день'!#ref!)</f>
        <v>#VALUE!</v>
      </c>
      <c r="B42" s="101" t="e">
        <f aca="false">IF('глубина-день'!#ref!="","",'глубина-день'!#ref!)</f>
        <v>#VALUE!</v>
      </c>
      <c r="C42" s="101" t="e">
        <f aca="false">IF('глубина-день'!#ref!="","",'глубина-день'!#ref!)</f>
        <v>#VALUE!</v>
      </c>
      <c r="D42" s="31" t="e">
        <f aca="false">IF('глубина-день'!#ref!="","",'глубина-день'!#ref!)</f>
        <v>#VALUE!</v>
      </c>
      <c r="E42" s="187" t="e">
        <f aca="false">IF('глубина-день'!#ref!="","",'глубина-день'!#ref!)</f>
        <v>#VALUE!</v>
      </c>
      <c r="F42" s="188" t="e">
        <f aca="false">IF('глубина-день'!#ref!="","",'глубина-день'!#ref!)</f>
        <v>#VALUE!</v>
      </c>
      <c r="G42" s="31" t="e">
        <f aca="false">IF('глубина-день'!#ref!="","",'глубина-день'!#ref!)</f>
        <v>#VALUE!</v>
      </c>
      <c r="H42" s="31" t="e">
        <f aca="false">IF('глубина-день'!#ref!="","",'глубина-день'!#ref!)</f>
        <v>#VALUE!</v>
      </c>
      <c r="I42" s="31" t="e">
        <f aca="false">IF('глубина-день'!#ref!="","",'глубина-день'!#ref!)</f>
        <v>#VALUE!</v>
      </c>
      <c r="J42" s="189" t="e">
        <f aca="false">IF('глубина-день'!#ref!="","",'глубина-день'!#ref!)</f>
        <v>#VALUE!</v>
      </c>
      <c r="K42" s="31" t="e">
        <f aca="false">IF('глубина-день'!#ref!="","",'глубина-день'!#ref!)</f>
        <v>#VALUE!</v>
      </c>
      <c r="L42" s="190" t="e">
        <f aca="false">IF('глубина-день'!#ref!="","",'глубина-день'!#ref!)</f>
        <v>#VALUE!</v>
      </c>
      <c r="M42" s="26"/>
      <c r="N42" s="31"/>
      <c r="O42" s="191"/>
      <c r="P42" s="172"/>
      <c r="Q42" s="172"/>
      <c r="R42" s="172"/>
      <c r="S42" s="172"/>
      <c r="W42" s="172"/>
      <c r="X42" s="172"/>
      <c r="Y42" s="172"/>
      <c r="Z42" s="172"/>
      <c r="AA42" s="172"/>
      <c r="AB42" s="172"/>
      <c r="AC42" s="172"/>
      <c r="AD42" s="172"/>
    </row>
    <row r="43" customFormat="false" ht="12" hidden="false" customHeight="true" outlineLevel="0" collapsed="false">
      <c r="A43" s="31" t="e">
        <f aca="false">IF('глубина-день'!#ref!="","",'глубина-день'!#ref!)</f>
        <v>#VALUE!</v>
      </c>
      <c r="B43" s="101" t="e">
        <f aca="false">IF('глубина-день'!#ref!="","",'глубина-день'!#ref!)</f>
        <v>#VALUE!</v>
      </c>
      <c r="C43" s="101" t="e">
        <f aca="false">IF('глубина-день'!#ref!="","",'глубина-день'!#ref!)</f>
        <v>#VALUE!</v>
      </c>
      <c r="D43" s="31" t="e">
        <f aca="false">IF('глубина-день'!#ref!="","",'глубина-день'!#ref!)</f>
        <v>#VALUE!</v>
      </c>
      <c r="E43" s="187" t="e">
        <f aca="false">IF('глубина-день'!#ref!="","",'глубина-день'!#ref!)</f>
        <v>#VALUE!</v>
      </c>
      <c r="F43" s="188" t="e">
        <f aca="false">IF('глубина-день'!#ref!="","",'глубина-день'!#ref!)</f>
        <v>#VALUE!</v>
      </c>
      <c r="G43" s="31" t="e">
        <f aca="false">IF('глубина-день'!#ref!="","",'глубина-день'!#ref!)</f>
        <v>#VALUE!</v>
      </c>
      <c r="H43" s="31" t="e">
        <f aca="false">IF('глубина-день'!#ref!="","",'глубина-день'!#ref!)</f>
        <v>#VALUE!</v>
      </c>
      <c r="I43" s="31" t="e">
        <f aca="false">IF('глубина-день'!#ref!="","",'глубина-день'!#ref!)</f>
        <v>#VALUE!</v>
      </c>
      <c r="J43" s="189" t="e">
        <f aca="false">IF('глубина-день'!#ref!="","",'глубина-день'!#ref!)</f>
        <v>#VALUE!</v>
      </c>
      <c r="K43" s="31" t="e">
        <f aca="false">IF('глубина-день'!#ref!="","",'глубина-день'!#ref!)</f>
        <v>#VALUE!</v>
      </c>
      <c r="L43" s="190" t="e">
        <f aca="false">IF('глубина-день'!#ref!="","",'глубина-день'!#ref!)</f>
        <v>#VALUE!</v>
      </c>
      <c r="M43" s="26"/>
      <c r="N43" s="31"/>
      <c r="O43" s="191"/>
      <c r="P43" s="172"/>
      <c r="Q43" s="172"/>
      <c r="R43" s="172"/>
      <c r="S43" s="172"/>
      <c r="W43" s="172"/>
      <c r="X43" s="172"/>
      <c r="Y43" s="172"/>
      <c r="Z43" s="172"/>
      <c r="AA43" s="172"/>
      <c r="AB43" s="172"/>
      <c r="AC43" s="172"/>
      <c r="AD43" s="172"/>
    </row>
    <row r="44" customFormat="false" ht="12" hidden="false" customHeight="true" outlineLevel="0" collapsed="false">
      <c r="A44" s="31" t="e">
        <f aca="false">IF('глубина-день'!#ref!="","",'глубина-день'!#ref!)</f>
        <v>#VALUE!</v>
      </c>
      <c r="B44" s="101" t="e">
        <f aca="false">IF('глубина-день'!#ref!="","",'глубина-день'!#ref!)</f>
        <v>#VALUE!</v>
      </c>
      <c r="C44" s="101" t="e">
        <f aca="false">IF('глубина-день'!#ref!="","",'глубина-день'!#ref!)</f>
        <v>#VALUE!</v>
      </c>
      <c r="D44" s="31" t="e">
        <f aca="false">IF('глубина-день'!#ref!="","",'глубина-день'!#ref!)</f>
        <v>#VALUE!</v>
      </c>
      <c r="E44" s="187" t="e">
        <f aca="false">IF('глубина-день'!#ref!="","",'глубина-день'!#ref!)</f>
        <v>#VALUE!</v>
      </c>
      <c r="F44" s="188" t="e">
        <f aca="false">IF('глубина-день'!#ref!="","",'глубина-день'!#ref!)</f>
        <v>#VALUE!</v>
      </c>
      <c r="G44" s="31" t="e">
        <f aca="false">IF('глубина-день'!#ref!="","",'глубина-день'!#ref!)</f>
        <v>#VALUE!</v>
      </c>
      <c r="H44" s="31" t="e">
        <f aca="false">IF('глубина-день'!#ref!="","",'глубина-день'!#ref!)</f>
        <v>#VALUE!</v>
      </c>
      <c r="I44" s="31" t="e">
        <f aca="false">IF('глубина-день'!#ref!="","",'глубина-день'!#ref!)</f>
        <v>#VALUE!</v>
      </c>
      <c r="J44" s="189" t="e">
        <f aca="false">IF('глубина-день'!#ref!="","",'глубина-день'!#ref!)</f>
        <v>#VALUE!</v>
      </c>
      <c r="K44" s="31" t="e">
        <f aca="false">IF('глубина-день'!#ref!="","",'глубина-день'!#ref!)</f>
        <v>#VALUE!</v>
      </c>
      <c r="L44" s="190" t="e">
        <f aca="false">IF('глубина-день'!#ref!="","",'глубина-день'!#ref!)</f>
        <v>#VALUE!</v>
      </c>
      <c r="M44" s="26"/>
      <c r="N44" s="31"/>
      <c r="O44" s="191"/>
      <c r="P44" s="172"/>
      <c r="Q44" s="172"/>
      <c r="R44" s="172"/>
      <c r="S44" s="172"/>
      <c r="W44" s="172"/>
      <c r="X44" s="172"/>
      <c r="Y44" s="172"/>
      <c r="Z44" s="172"/>
      <c r="AA44" s="172"/>
      <c r="AB44" s="172"/>
      <c r="AC44" s="172"/>
      <c r="AD44" s="172"/>
    </row>
    <row r="45" customFormat="false" ht="12" hidden="false" customHeight="true" outlineLevel="0" collapsed="false">
      <c r="A45" s="31" t="e">
        <f aca="false">IF('глубина-день'!#ref!="","",'глубина-день'!#ref!)</f>
        <v>#VALUE!</v>
      </c>
      <c r="B45" s="101" t="e">
        <f aca="false">IF('глубина-день'!#ref!="","",'глубина-день'!#ref!)</f>
        <v>#VALUE!</v>
      </c>
      <c r="C45" s="101" t="e">
        <f aca="false">IF('глубина-день'!#ref!="","",'глубина-день'!#ref!)</f>
        <v>#VALUE!</v>
      </c>
      <c r="D45" s="31" t="e">
        <f aca="false">IF('глубина-день'!#ref!="","",'глубина-день'!#ref!)</f>
        <v>#VALUE!</v>
      </c>
      <c r="E45" s="187" t="e">
        <f aca="false">IF('глубина-день'!#ref!="","",'глубина-день'!#ref!)</f>
        <v>#VALUE!</v>
      </c>
      <c r="F45" s="188" t="e">
        <f aca="false">IF('глубина-день'!#ref!="","",'глубина-день'!#ref!)</f>
        <v>#VALUE!</v>
      </c>
      <c r="G45" s="31" t="e">
        <f aca="false">IF('глубина-день'!#ref!="","",'глубина-день'!#ref!)</f>
        <v>#VALUE!</v>
      </c>
      <c r="H45" s="31" t="e">
        <f aca="false">IF('глубина-день'!#ref!="","",'глубина-день'!#ref!)</f>
        <v>#VALUE!</v>
      </c>
      <c r="I45" s="31" t="e">
        <f aca="false">IF('глубина-день'!#ref!="","",'глубина-день'!#ref!)</f>
        <v>#VALUE!</v>
      </c>
      <c r="J45" s="189" t="e">
        <f aca="false">IF('глубина-день'!#ref!="","",'глубина-день'!#ref!)</f>
        <v>#VALUE!</v>
      </c>
      <c r="K45" s="31" t="e">
        <f aca="false">IF('глубина-день'!#ref!="","",'глубина-день'!#ref!)</f>
        <v>#VALUE!</v>
      </c>
      <c r="L45" s="190" t="e">
        <f aca="false">IF('глубина-день'!#ref!="","",'глубина-день'!#ref!)</f>
        <v>#VALUE!</v>
      </c>
      <c r="M45" s="26"/>
      <c r="N45" s="31"/>
      <c r="O45" s="191"/>
      <c r="P45" s="172"/>
      <c r="Q45" s="172"/>
      <c r="R45" s="172"/>
      <c r="S45" s="172"/>
      <c r="W45" s="172"/>
      <c r="X45" s="172"/>
      <c r="Y45" s="172"/>
      <c r="Z45" s="172"/>
      <c r="AA45" s="172"/>
      <c r="AB45" s="172"/>
      <c r="AC45" s="172"/>
      <c r="AD45" s="172"/>
    </row>
    <row r="46" customFormat="false" ht="12" hidden="false" customHeight="true" outlineLevel="0" collapsed="false">
      <c r="A46" s="31" t="e">
        <f aca="false">IF('глубина-день'!#ref!="","",'глубина-день'!#ref!)</f>
        <v>#VALUE!</v>
      </c>
      <c r="B46" s="101" t="e">
        <f aca="false">IF('глубина-день'!#ref!="","",'глубина-день'!#ref!)</f>
        <v>#VALUE!</v>
      </c>
      <c r="C46" s="101" t="e">
        <f aca="false">IF('глубина-день'!#ref!="","",'глубина-день'!#ref!)</f>
        <v>#VALUE!</v>
      </c>
      <c r="D46" s="31" t="e">
        <f aca="false">IF('глубина-день'!#ref!="","",'глубина-день'!#ref!)</f>
        <v>#VALUE!</v>
      </c>
      <c r="E46" s="187" t="e">
        <f aca="false">IF('глубина-день'!#ref!="","",'глубина-день'!#ref!)</f>
        <v>#VALUE!</v>
      </c>
      <c r="F46" s="188" t="e">
        <f aca="false">IF('глубина-день'!#ref!="","",'глубина-день'!#ref!)</f>
        <v>#VALUE!</v>
      </c>
      <c r="G46" s="31" t="e">
        <f aca="false">IF('глубина-день'!#ref!="","",'глубина-день'!#ref!)</f>
        <v>#VALUE!</v>
      </c>
      <c r="H46" s="31" t="e">
        <f aca="false">IF('глубина-день'!#ref!="","",'глубина-день'!#ref!)</f>
        <v>#VALUE!</v>
      </c>
      <c r="I46" s="31" t="e">
        <f aca="false">IF('глубина-день'!#ref!="","",'глубина-день'!#ref!)</f>
        <v>#VALUE!</v>
      </c>
      <c r="J46" s="189" t="e">
        <f aca="false">IF('глубина-день'!#ref!="","",'глубина-день'!#ref!)</f>
        <v>#VALUE!</v>
      </c>
      <c r="K46" s="31" t="e">
        <f aca="false">IF('глубина-день'!#ref!="","",'глубина-день'!#ref!)</f>
        <v>#VALUE!</v>
      </c>
      <c r="L46" s="190" t="e">
        <f aca="false">IF('глубина-день'!#ref!="","",'глубина-день'!#ref!)</f>
        <v>#VALUE!</v>
      </c>
      <c r="M46" s="26"/>
      <c r="N46" s="31"/>
      <c r="O46" s="191"/>
      <c r="P46" s="172"/>
      <c r="Q46" s="172"/>
      <c r="R46" s="172"/>
      <c r="S46" s="172"/>
      <c r="W46" s="172"/>
      <c r="X46" s="172"/>
      <c r="Y46" s="172"/>
      <c r="Z46" s="172"/>
      <c r="AA46" s="172"/>
      <c r="AB46" s="172"/>
      <c r="AC46" s="172"/>
      <c r="AD46" s="172"/>
    </row>
    <row r="47" customFormat="false" ht="12" hidden="false" customHeight="true" outlineLevel="0" collapsed="false">
      <c r="A47" s="31" t="e">
        <f aca="false">IF('глубина-день'!#ref!="","",'глубина-день'!#ref!)</f>
        <v>#VALUE!</v>
      </c>
      <c r="B47" s="101" t="e">
        <f aca="false">IF('глубина-день'!#ref!="","",'глубина-день'!#ref!)</f>
        <v>#VALUE!</v>
      </c>
      <c r="C47" s="101" t="e">
        <f aca="false">IF('глубина-день'!#ref!="","",'глубина-день'!#ref!)</f>
        <v>#VALUE!</v>
      </c>
      <c r="D47" s="31" t="e">
        <f aca="false">IF('глубина-день'!#ref!="","",'глубина-день'!#ref!)</f>
        <v>#VALUE!</v>
      </c>
      <c r="E47" s="187" t="e">
        <f aca="false">IF('глубина-день'!#ref!="","",'глубина-день'!#ref!)</f>
        <v>#VALUE!</v>
      </c>
      <c r="F47" s="188" t="e">
        <f aca="false">IF('глубина-день'!#ref!="","",'глубина-день'!#ref!)</f>
        <v>#VALUE!</v>
      </c>
      <c r="G47" s="31" t="e">
        <f aca="false">IF('глубина-день'!#ref!="","",'глубина-день'!#ref!)</f>
        <v>#VALUE!</v>
      </c>
      <c r="H47" s="31" t="e">
        <f aca="false">IF('глубина-день'!#ref!="","",'глубина-день'!#ref!)</f>
        <v>#VALUE!</v>
      </c>
      <c r="I47" s="31" t="e">
        <f aca="false">IF('глубина-день'!#ref!="","",'глубина-день'!#ref!)</f>
        <v>#VALUE!</v>
      </c>
      <c r="J47" s="189" t="e">
        <f aca="false">IF('глубина-день'!#ref!="","",'глубина-день'!#ref!)</f>
        <v>#VALUE!</v>
      </c>
      <c r="K47" s="31" t="e">
        <f aca="false">IF('глубина-день'!#ref!="","",'глубина-день'!#ref!)</f>
        <v>#VALUE!</v>
      </c>
      <c r="L47" s="190" t="e">
        <f aca="false">IF('глубина-день'!#ref!="","",'глубина-день'!#ref!)</f>
        <v>#VALUE!</v>
      </c>
      <c r="M47" s="26"/>
      <c r="N47" s="31"/>
      <c r="O47" s="191"/>
      <c r="P47" s="172"/>
      <c r="Q47" s="172"/>
      <c r="R47" s="172"/>
      <c r="S47" s="172"/>
      <c r="W47" s="172"/>
      <c r="X47" s="172"/>
      <c r="Y47" s="172"/>
      <c r="Z47" s="172"/>
      <c r="AA47" s="172"/>
      <c r="AB47" s="172"/>
      <c r="AC47" s="172"/>
      <c r="AD47" s="172"/>
    </row>
    <row r="48" customFormat="false" ht="12" hidden="false" customHeight="true" outlineLevel="0" collapsed="false">
      <c r="A48" s="31" t="e">
        <f aca="false">IF('глубина-день'!#ref!="","",'глубина-день'!#ref!)</f>
        <v>#VALUE!</v>
      </c>
      <c r="B48" s="101" t="e">
        <f aca="false">IF('глубина-день'!#ref!="","",'глубина-день'!#ref!)</f>
        <v>#VALUE!</v>
      </c>
      <c r="C48" s="101" t="e">
        <f aca="false">IF('глубина-день'!#ref!="","",'глубина-день'!#ref!)</f>
        <v>#VALUE!</v>
      </c>
      <c r="D48" s="31" t="e">
        <f aca="false">IF('глубина-день'!#ref!="","",'глубина-день'!#ref!)</f>
        <v>#VALUE!</v>
      </c>
      <c r="E48" s="187" t="e">
        <f aca="false">IF('глубина-день'!#ref!="","",'глубина-день'!#ref!)</f>
        <v>#VALUE!</v>
      </c>
      <c r="F48" s="188" t="e">
        <f aca="false">IF('глубина-день'!#ref!="","",'глубина-день'!#ref!)</f>
        <v>#VALUE!</v>
      </c>
      <c r="G48" s="31" t="e">
        <f aca="false">IF('глубина-день'!#ref!="","",'глубина-день'!#ref!)</f>
        <v>#VALUE!</v>
      </c>
      <c r="H48" s="31" t="e">
        <f aca="false">IF('глубина-день'!#ref!="","",'глубина-день'!#ref!)</f>
        <v>#VALUE!</v>
      </c>
      <c r="I48" s="31" t="e">
        <f aca="false">IF('глубина-день'!#ref!="","",'глубина-день'!#ref!)</f>
        <v>#VALUE!</v>
      </c>
      <c r="J48" s="189" t="e">
        <f aca="false">IF('глубина-день'!#ref!="","",'глубина-день'!#ref!)</f>
        <v>#VALUE!</v>
      </c>
      <c r="K48" s="31" t="e">
        <f aca="false">IF('глубина-день'!#ref!="","",'глубина-день'!#ref!)</f>
        <v>#VALUE!</v>
      </c>
      <c r="L48" s="190" t="e">
        <f aca="false">IF('глубина-день'!#ref!="","",'глубина-день'!#ref!)</f>
        <v>#VALUE!</v>
      </c>
      <c r="M48" s="26"/>
      <c r="N48" s="31"/>
      <c r="O48" s="191"/>
      <c r="P48" s="172"/>
      <c r="Q48" s="172"/>
      <c r="R48" s="172"/>
      <c r="S48" s="172"/>
      <c r="W48" s="172"/>
      <c r="X48" s="172"/>
      <c r="Y48" s="172"/>
      <c r="Z48" s="172"/>
      <c r="AA48" s="172"/>
      <c r="AB48" s="172"/>
      <c r="AC48" s="172"/>
      <c r="AD48" s="172"/>
    </row>
    <row r="49" customFormat="false" ht="12" hidden="false" customHeight="true" outlineLevel="0" collapsed="false">
      <c r="A49" s="31" t="e">
        <f aca="false">IF('глубина-день'!#ref!="","",'глубина-день'!#ref!)</f>
        <v>#VALUE!</v>
      </c>
      <c r="B49" s="101" t="e">
        <f aca="false">IF('глубина-день'!#ref!="","",'глубина-день'!#ref!)</f>
        <v>#VALUE!</v>
      </c>
      <c r="C49" s="101" t="e">
        <f aca="false">IF('глубина-день'!#ref!="","",'глубина-день'!#ref!)</f>
        <v>#VALUE!</v>
      </c>
      <c r="D49" s="31" t="e">
        <f aca="false">IF('глубина-день'!#ref!="","",'глубина-день'!#ref!)</f>
        <v>#VALUE!</v>
      </c>
      <c r="E49" s="187" t="e">
        <f aca="false">IF('глубина-день'!#ref!="","",'глубина-день'!#ref!)</f>
        <v>#VALUE!</v>
      </c>
      <c r="F49" s="188" t="e">
        <f aca="false">IF('глубина-день'!#ref!="","",'глубина-день'!#ref!)</f>
        <v>#VALUE!</v>
      </c>
      <c r="G49" s="31" t="e">
        <f aca="false">IF('глубина-день'!#ref!="","",'глубина-день'!#ref!)</f>
        <v>#VALUE!</v>
      </c>
      <c r="H49" s="31" t="e">
        <f aca="false">IF('глубина-день'!#ref!="","",'глубина-день'!#ref!)</f>
        <v>#VALUE!</v>
      </c>
      <c r="I49" s="31" t="e">
        <f aca="false">IF('глубина-день'!#ref!="","",'глубина-день'!#ref!)</f>
        <v>#VALUE!</v>
      </c>
      <c r="J49" s="189" t="e">
        <f aca="false">IF('глубина-день'!#ref!="","",'глубина-день'!#ref!)</f>
        <v>#VALUE!</v>
      </c>
      <c r="K49" s="31" t="e">
        <f aca="false">IF('глубина-день'!#ref!="","",'глубина-день'!#ref!)</f>
        <v>#VALUE!</v>
      </c>
      <c r="L49" s="190" t="e">
        <f aca="false">IF('глубина-день'!#ref!="","",'глубина-день'!#ref!)</f>
        <v>#VALUE!</v>
      </c>
      <c r="M49" s="26"/>
      <c r="N49" s="31"/>
      <c r="O49" s="191"/>
      <c r="P49" s="172"/>
      <c r="Q49" s="172"/>
      <c r="R49" s="172"/>
      <c r="S49" s="172"/>
      <c r="W49" s="172"/>
      <c r="X49" s="172"/>
      <c r="Y49" s="172"/>
      <c r="Z49" s="172"/>
      <c r="AA49" s="172"/>
      <c r="AB49" s="172"/>
      <c r="AC49" s="172"/>
      <c r="AD49" s="172"/>
    </row>
    <row r="50" customFormat="false" ht="12" hidden="false" customHeight="true" outlineLevel="0" collapsed="false">
      <c r="A50" s="31" t="n">
        <f aca="false">IF('Глубина-день'!A73="","",'Глубина-день'!A73)</f>
        <v>54</v>
      </c>
      <c r="B50" s="101" t="str">
        <f aca="false">IF('Глубина-день'!B73="","",'Глубина-день'!B73)</f>
        <v>Крепление</v>
      </c>
      <c r="C50" s="101" t="str">
        <f aca="false">IF('Глубина-день'!C73="","",'Глубина-день'!C73)</f>
        <v>ПЗР к спуску хвостовика</v>
      </c>
      <c r="D50" s="31" t="n">
        <f aca="false">IF('Глубина-день'!E73="","",'Глубина-день'!E73)</f>
        <v>114</v>
      </c>
      <c r="E50" s="187" t="str">
        <f aca="false">IF('Глубина-день'!F73="","",'Глубина-день'!F73)</f>
        <v/>
      </c>
      <c r="F50" s="188" t="str">
        <f aca="false">IF('Глубина-день'!G73="","",'Глубина-день'!G73)</f>
        <v/>
      </c>
      <c r="G50" s="31" t="e">
        <f aca="false">IF('глубина-день'!#ref!="","",'глубина-день'!#ref!)</f>
        <v>#VALUE!</v>
      </c>
      <c r="H50" s="31" t="n">
        <f aca="false">IF('Глубина-день'!H73="","",'Глубина-день'!H73)</f>
        <v>4660</v>
      </c>
      <c r="I50" s="31" t="n">
        <f aca="false">IF('Глубина-день'!I73="","",'Глубина-день'!I73)</f>
        <v>1</v>
      </c>
      <c r="J50" s="189" t="n">
        <f aca="false">IF('Глубина-день'!J73="","",'Глубина-день'!J73)</f>
        <v>45523.2708333333</v>
      </c>
      <c r="K50" s="31" t="n">
        <f aca="false">IF('Глубина-день'!R73="","",'Глубина-день'!R73)</f>
        <v>1</v>
      </c>
      <c r="L50" s="190" t="e">
        <f aca="false">IF('глубина-день'!#ref!="","",'глубина-день'!#ref!)</f>
        <v>#VALUE!</v>
      </c>
      <c r="M50" s="26"/>
      <c r="N50" s="31"/>
      <c r="O50" s="191"/>
      <c r="P50" s="172"/>
      <c r="Q50" s="172"/>
      <c r="R50" s="172"/>
      <c r="S50" s="172"/>
      <c r="W50" s="172"/>
      <c r="X50" s="172"/>
      <c r="Y50" s="172"/>
      <c r="Z50" s="172"/>
      <c r="AA50" s="172"/>
      <c r="AB50" s="172"/>
      <c r="AC50" s="172"/>
      <c r="AD50" s="172"/>
    </row>
    <row r="51" customFormat="false" ht="12" hidden="false" customHeight="true" outlineLevel="0" collapsed="false">
      <c r="A51" s="31" t="e">
        <f aca="false">IF('глубина-день'!#ref!="","",'глубина-день'!#ref!)</f>
        <v>#VALUE!</v>
      </c>
      <c r="B51" s="101" t="e">
        <f aca="false">IF('глубина-день'!#ref!="","",'глубина-день'!#ref!)</f>
        <v>#VALUE!</v>
      </c>
      <c r="C51" s="101" t="e">
        <f aca="false">IF('глубина-день'!#ref!="","",'глубина-день'!#ref!)</f>
        <v>#VALUE!</v>
      </c>
      <c r="D51" s="31" t="e">
        <f aca="false">IF('глубина-день'!#ref!="","",'глубина-день'!#ref!)</f>
        <v>#VALUE!</v>
      </c>
      <c r="E51" s="187" t="e">
        <f aca="false">IF('глубина-день'!#ref!="","",'глубина-день'!#ref!)</f>
        <v>#VALUE!</v>
      </c>
      <c r="F51" s="188" t="e">
        <f aca="false">IF('глубина-день'!#ref!="","",'глубина-день'!#ref!)</f>
        <v>#VALUE!</v>
      </c>
      <c r="G51" s="31" t="e">
        <f aca="false">IF('глубина-день'!#ref!="","",'глубина-день'!#ref!)</f>
        <v>#VALUE!</v>
      </c>
      <c r="H51" s="31" t="e">
        <f aca="false">IF('глубина-день'!#ref!="","",'глубина-день'!#ref!)</f>
        <v>#VALUE!</v>
      </c>
      <c r="I51" s="31" t="e">
        <f aca="false">IF('глубина-день'!#ref!="","",'глубина-день'!#ref!)</f>
        <v>#VALUE!</v>
      </c>
      <c r="J51" s="189" t="e">
        <f aca="false">IF('глубина-день'!#ref!="","",'глубина-день'!#ref!)</f>
        <v>#VALUE!</v>
      </c>
      <c r="K51" s="31" t="e">
        <f aca="false">IF('глубина-день'!#ref!="","",'глубина-день'!#ref!)</f>
        <v>#VALUE!</v>
      </c>
      <c r="L51" s="190" t="e">
        <f aca="false">IF('глубина-день'!#ref!="","",'глубина-день'!#ref!)</f>
        <v>#VALUE!</v>
      </c>
      <c r="M51" s="26"/>
      <c r="N51" s="31"/>
      <c r="O51" s="191"/>
      <c r="P51" s="172"/>
      <c r="Q51" s="172"/>
      <c r="R51" s="172"/>
      <c r="S51" s="172"/>
      <c r="W51" s="172"/>
      <c r="X51" s="172"/>
      <c r="Y51" s="172"/>
      <c r="Z51" s="172"/>
      <c r="AA51" s="172"/>
      <c r="AB51" s="172"/>
      <c r="AC51" s="172"/>
      <c r="AD51" s="172"/>
    </row>
    <row r="52" customFormat="false" ht="12" hidden="false" customHeight="true" outlineLevel="0" collapsed="false">
      <c r="A52" s="31" t="e">
        <f aca="false">IF('глубина-день'!#ref!="","",'глубина-день'!#ref!)</f>
        <v>#VALUE!</v>
      </c>
      <c r="B52" s="101" t="e">
        <f aca="false">IF('глубина-день'!#ref!="","",'глубина-день'!#ref!)</f>
        <v>#VALUE!</v>
      </c>
      <c r="C52" s="101" t="e">
        <f aca="false">IF('глубина-день'!#ref!="","",'глубина-день'!#ref!)</f>
        <v>#VALUE!</v>
      </c>
      <c r="D52" s="31" t="e">
        <f aca="false">IF('глубина-день'!#ref!="","",'глубина-день'!#ref!)</f>
        <v>#VALUE!</v>
      </c>
      <c r="E52" s="187" t="e">
        <f aca="false">IF('глубина-день'!#ref!="","",'глубина-день'!#ref!)</f>
        <v>#VALUE!</v>
      </c>
      <c r="F52" s="188" t="e">
        <f aca="false">IF('глубина-день'!#ref!="","",'глубина-день'!#ref!)</f>
        <v>#VALUE!</v>
      </c>
      <c r="G52" s="31" t="e">
        <f aca="false">IF('глубина-день'!#ref!="","",'глубина-день'!#ref!)</f>
        <v>#VALUE!</v>
      </c>
      <c r="H52" s="31" t="e">
        <f aca="false">IF('глубина-день'!#ref!="","",'глубина-день'!#ref!)</f>
        <v>#VALUE!</v>
      </c>
      <c r="I52" s="31" t="e">
        <f aca="false">IF('глубина-день'!#ref!="","",'глубина-день'!#ref!)</f>
        <v>#VALUE!</v>
      </c>
      <c r="J52" s="189" t="e">
        <f aca="false">IF('глубина-день'!#ref!="","",'глубина-день'!#ref!)</f>
        <v>#VALUE!</v>
      </c>
      <c r="K52" s="31" t="e">
        <f aca="false">IF('глубина-день'!#ref!="","",'глубина-день'!#ref!)</f>
        <v>#VALUE!</v>
      </c>
      <c r="L52" s="190" t="e">
        <f aca="false">IF('глубина-день'!#ref!="","",'глубина-день'!#ref!)</f>
        <v>#VALUE!</v>
      </c>
      <c r="M52" s="26"/>
      <c r="N52" s="31"/>
      <c r="O52" s="191"/>
      <c r="P52" s="172"/>
      <c r="Q52" s="172"/>
      <c r="R52" s="172"/>
      <c r="S52" s="172"/>
      <c r="W52" s="172"/>
      <c r="X52" s="172"/>
      <c r="Y52" s="172"/>
      <c r="Z52" s="172"/>
      <c r="AA52" s="172"/>
      <c r="AB52" s="172"/>
      <c r="AC52" s="172"/>
      <c r="AD52" s="172"/>
    </row>
    <row r="53" customFormat="false" ht="12" hidden="false" customHeight="true" outlineLevel="0" collapsed="false">
      <c r="A53" s="31" t="e">
        <f aca="false">IF('глубина-день'!#ref!="","",'глубина-день'!#ref!)</f>
        <v>#VALUE!</v>
      </c>
      <c r="B53" s="101" t="e">
        <f aca="false">IF('глубина-день'!#ref!="","",'глубина-день'!#ref!)</f>
        <v>#VALUE!</v>
      </c>
      <c r="C53" s="101" t="e">
        <f aca="false">IF('глубина-день'!#ref!="","",'глубина-день'!#ref!)</f>
        <v>#VALUE!</v>
      </c>
      <c r="D53" s="31" t="e">
        <f aca="false">IF('глубина-день'!#ref!="","",'глубина-день'!#ref!)</f>
        <v>#VALUE!</v>
      </c>
      <c r="E53" s="187" t="e">
        <f aca="false">IF('глубина-день'!#ref!="","",'глубина-день'!#ref!)</f>
        <v>#VALUE!</v>
      </c>
      <c r="F53" s="188" t="e">
        <f aca="false">IF('глубина-день'!#ref!="","",'глубина-день'!#ref!)</f>
        <v>#VALUE!</v>
      </c>
      <c r="G53" s="31" t="e">
        <f aca="false">IF('глубина-день'!#ref!="","",'глубина-день'!#ref!)</f>
        <v>#VALUE!</v>
      </c>
      <c r="H53" s="31" t="e">
        <f aca="false">IF('глубина-день'!#ref!="","",'глубина-день'!#ref!)</f>
        <v>#VALUE!</v>
      </c>
      <c r="I53" s="31" t="e">
        <f aca="false">IF('глубина-день'!#ref!="","",'глубина-день'!#ref!)</f>
        <v>#VALUE!</v>
      </c>
      <c r="J53" s="189" t="e">
        <f aca="false">IF('глубина-день'!#ref!="","",'глубина-день'!#ref!)</f>
        <v>#VALUE!</v>
      </c>
      <c r="K53" s="31" t="e">
        <f aca="false">IF('глубина-день'!#ref!="","",'глубина-день'!#ref!)</f>
        <v>#VALUE!</v>
      </c>
      <c r="L53" s="190" t="e">
        <f aca="false">IF('глубина-день'!#ref!="","",'глубина-день'!#ref!)</f>
        <v>#VALUE!</v>
      </c>
      <c r="M53" s="26"/>
      <c r="N53" s="31"/>
      <c r="O53" s="191"/>
      <c r="P53" s="172"/>
      <c r="Q53" s="172"/>
      <c r="R53" s="172"/>
      <c r="S53" s="172"/>
      <c r="W53" s="172"/>
      <c r="X53" s="172"/>
      <c r="Y53" s="172"/>
      <c r="Z53" s="172"/>
      <c r="AA53" s="172"/>
      <c r="AB53" s="172"/>
      <c r="AC53" s="172"/>
      <c r="AD53" s="172"/>
    </row>
    <row r="54" customFormat="false" ht="12" hidden="false" customHeight="true" outlineLevel="0" collapsed="false">
      <c r="A54" s="31" t="e">
        <f aca="false">IF('глубина-день'!#ref!="","",'глубина-день'!#ref!)</f>
        <v>#VALUE!</v>
      </c>
      <c r="B54" s="101" t="e">
        <f aca="false">IF('глубина-день'!#ref!="","",'глубина-день'!#ref!)</f>
        <v>#VALUE!</v>
      </c>
      <c r="C54" s="101" t="e">
        <f aca="false">IF('глубина-день'!#ref!="","",'глубина-день'!#ref!)</f>
        <v>#VALUE!</v>
      </c>
      <c r="D54" s="31" t="e">
        <f aca="false">IF('глубина-день'!#ref!="","",'глубина-день'!#ref!)</f>
        <v>#VALUE!</v>
      </c>
      <c r="E54" s="187" t="e">
        <f aca="false">IF('глубина-день'!#ref!="","",'глубина-день'!#ref!)</f>
        <v>#VALUE!</v>
      </c>
      <c r="F54" s="188" t="e">
        <f aca="false">IF('глубина-день'!#ref!="","",'глубина-день'!#ref!)</f>
        <v>#VALUE!</v>
      </c>
      <c r="G54" s="31" t="e">
        <f aca="false">IF('глубина-день'!#ref!="","",'глубина-день'!#ref!)</f>
        <v>#VALUE!</v>
      </c>
      <c r="H54" s="31" t="e">
        <f aca="false">IF('глубина-день'!#ref!="","",'глубина-день'!#ref!)</f>
        <v>#VALUE!</v>
      </c>
      <c r="I54" s="31" t="e">
        <f aca="false">IF('глубина-день'!#ref!="","",'глубина-день'!#ref!)</f>
        <v>#VALUE!</v>
      </c>
      <c r="J54" s="189" t="e">
        <f aca="false">IF('глубина-день'!#ref!="","",'глубина-день'!#ref!)</f>
        <v>#VALUE!</v>
      </c>
      <c r="K54" s="31" t="e">
        <f aca="false">IF('глубина-день'!#ref!="","",'глубина-день'!#ref!)</f>
        <v>#VALUE!</v>
      </c>
      <c r="L54" s="190" t="e">
        <f aca="false">IF('глубина-день'!#ref!="","",'глубина-день'!#ref!)</f>
        <v>#VALUE!</v>
      </c>
      <c r="M54" s="26"/>
      <c r="N54" s="31"/>
      <c r="O54" s="191"/>
      <c r="P54" s="172"/>
      <c r="Q54" s="172"/>
      <c r="R54" s="172"/>
      <c r="S54" s="172"/>
      <c r="W54" s="172"/>
      <c r="X54" s="172"/>
      <c r="Y54" s="172"/>
      <c r="Z54" s="172"/>
      <c r="AA54" s="172"/>
      <c r="AB54" s="172"/>
      <c r="AC54" s="172"/>
      <c r="AD54" s="172"/>
    </row>
    <row r="55" customFormat="false" ht="12" hidden="false" customHeight="true" outlineLevel="0" collapsed="false">
      <c r="A55" s="31" t="e">
        <f aca="false">IF('глубина-день'!#ref!="","",'глубина-день'!#ref!)</f>
        <v>#VALUE!</v>
      </c>
      <c r="B55" s="101" t="e">
        <f aca="false">IF('глубина-день'!#ref!="","",'глубина-день'!#ref!)</f>
        <v>#VALUE!</v>
      </c>
      <c r="C55" s="101" t="e">
        <f aca="false">IF('глубина-день'!#ref!="","",'глубина-день'!#ref!)</f>
        <v>#VALUE!</v>
      </c>
      <c r="D55" s="31" t="e">
        <f aca="false">IF('глубина-день'!#ref!="","",'глубина-день'!#ref!)</f>
        <v>#VALUE!</v>
      </c>
      <c r="E55" s="187" t="e">
        <f aca="false">IF('глубина-день'!#ref!="","",'глубина-день'!#ref!)</f>
        <v>#VALUE!</v>
      </c>
      <c r="F55" s="188" t="e">
        <f aca="false">IF('глубина-день'!#ref!="","",'глубина-день'!#ref!)</f>
        <v>#VALUE!</v>
      </c>
      <c r="G55" s="31" t="e">
        <f aca="false">IF('глубина-день'!#ref!="","",'глубина-день'!#ref!)</f>
        <v>#VALUE!</v>
      </c>
      <c r="H55" s="31" t="e">
        <f aca="false">IF('глубина-день'!#ref!="","",'глубина-день'!#ref!)</f>
        <v>#VALUE!</v>
      </c>
      <c r="I55" s="31" t="e">
        <f aca="false">IF('глубина-день'!#ref!="","",'глубина-день'!#ref!)</f>
        <v>#VALUE!</v>
      </c>
      <c r="J55" s="189" t="e">
        <f aca="false">IF('глубина-день'!#ref!="","",'глубина-день'!#ref!)</f>
        <v>#VALUE!</v>
      </c>
      <c r="K55" s="31" t="e">
        <f aca="false">IF('глубина-день'!#ref!="","",'глубина-день'!#ref!)</f>
        <v>#VALUE!</v>
      </c>
      <c r="L55" s="190" t="e">
        <f aca="false">IF('глубина-день'!#ref!="","",'глубина-день'!#ref!)</f>
        <v>#VALUE!</v>
      </c>
      <c r="M55" s="26"/>
      <c r="N55" s="31"/>
      <c r="O55" s="191"/>
      <c r="P55" s="172"/>
      <c r="Q55" s="172"/>
      <c r="R55" s="172"/>
      <c r="S55" s="172"/>
      <c r="W55" s="172"/>
      <c r="X55" s="172"/>
      <c r="Y55" s="172"/>
      <c r="Z55" s="172"/>
      <c r="AA55" s="172"/>
      <c r="AB55" s="172"/>
      <c r="AC55" s="172"/>
      <c r="AD55" s="172"/>
    </row>
    <row r="56" customFormat="false" ht="12" hidden="false" customHeight="true" outlineLevel="0" collapsed="false">
      <c r="A56" s="31" t="e">
        <f aca="false">IF(#REF!="","",#REF!)</f>
        <v>#REF!</v>
      </c>
      <c r="B56" s="101" t="e">
        <f aca="false">IF(#REF!="","",#REF!)</f>
        <v>#REF!</v>
      </c>
      <c r="C56" s="101" t="e">
        <f aca="false">IF(#REF!="","",#REF!)</f>
        <v>#REF!</v>
      </c>
      <c r="D56" s="31" t="e">
        <f aca="false">IF(#REF!="","",#REF!)</f>
        <v>#REF!</v>
      </c>
      <c r="E56" s="187" t="e">
        <f aca="false">IF(#REF!="","",#REF!)</f>
        <v>#REF!</v>
      </c>
      <c r="F56" s="188" t="e">
        <f aca="false">IF(#REF!="","",#REF!)</f>
        <v>#REF!</v>
      </c>
      <c r="G56" s="31" t="e">
        <f aca="false">IF('глубина-день'!#ref!="","",'глубина-день'!#ref!)</f>
        <v>#VALUE!</v>
      </c>
      <c r="H56" s="31" t="e">
        <f aca="false">IF(#REF!="","",#REF!)</f>
        <v>#REF!</v>
      </c>
      <c r="I56" s="31" t="e">
        <f aca="false">IF(#REF!="","",#REF!)</f>
        <v>#REF!</v>
      </c>
      <c r="J56" s="189" t="e">
        <f aca="false">IF(#REF!="","",#REF!)</f>
        <v>#REF!</v>
      </c>
      <c r="K56" s="31" t="e">
        <f aca="false">IF(#REF!="","",#REF!)</f>
        <v>#REF!</v>
      </c>
      <c r="L56" s="190" t="e">
        <f aca="false">IF('глубина-день'!#ref!="","",'глубина-день'!#ref!)</f>
        <v>#VALUE!</v>
      </c>
      <c r="M56" s="26"/>
      <c r="N56" s="31"/>
      <c r="O56" s="191"/>
      <c r="P56" s="172"/>
      <c r="Q56" s="172"/>
      <c r="R56" s="172"/>
      <c r="S56" s="172"/>
      <c r="W56" s="172"/>
      <c r="X56" s="172"/>
      <c r="Y56" s="172"/>
      <c r="Z56" s="172"/>
      <c r="AA56" s="172"/>
      <c r="AB56" s="172"/>
      <c r="AC56" s="172"/>
      <c r="AD56" s="172"/>
    </row>
    <row r="57" customFormat="false" ht="12" hidden="false" customHeight="true" outlineLevel="0" collapsed="false">
      <c r="A57" s="31" t="e">
        <f aca="false">IF(#REF!="","",#REF!)</f>
        <v>#REF!</v>
      </c>
      <c r="B57" s="101" t="e">
        <f aca="false">IF(#REF!="","",#REF!)</f>
        <v>#REF!</v>
      </c>
      <c r="C57" s="101" t="e">
        <f aca="false">IF(#REF!="","",#REF!)</f>
        <v>#REF!</v>
      </c>
      <c r="D57" s="31" t="e">
        <f aca="false">IF(#REF!="","",#REF!)</f>
        <v>#REF!</v>
      </c>
      <c r="E57" s="187" t="e">
        <f aca="false">IF(#REF!="","",#REF!)</f>
        <v>#REF!</v>
      </c>
      <c r="F57" s="188" t="e">
        <f aca="false">IF(#REF!="","",#REF!)</f>
        <v>#REF!</v>
      </c>
      <c r="G57" s="31" t="e">
        <f aca="false">IF('глубина-день'!#ref!="","",'глубина-день'!#ref!)</f>
        <v>#VALUE!</v>
      </c>
      <c r="H57" s="31" t="e">
        <f aca="false">IF(#REF!="","",#REF!)</f>
        <v>#REF!</v>
      </c>
      <c r="I57" s="31" t="e">
        <f aca="false">IF(#REF!="","",#REF!)</f>
        <v>#REF!</v>
      </c>
      <c r="J57" s="189" t="e">
        <f aca="false">IF(#REF!="","",#REF!)</f>
        <v>#REF!</v>
      </c>
      <c r="K57" s="31" t="e">
        <f aca="false">IF(#REF!="","",#REF!)</f>
        <v>#REF!</v>
      </c>
      <c r="L57" s="190" t="e">
        <f aca="false">IF('глубина-день'!#ref!="","",'глубина-день'!#ref!)</f>
        <v>#VALUE!</v>
      </c>
      <c r="M57" s="26"/>
      <c r="N57" s="31"/>
      <c r="O57" s="191"/>
      <c r="P57" s="172"/>
      <c r="Q57" s="172"/>
      <c r="R57" s="172"/>
      <c r="S57" s="172"/>
      <c r="W57" s="172"/>
      <c r="X57" s="172"/>
      <c r="Y57" s="172"/>
      <c r="Z57" s="172"/>
      <c r="AA57" s="172"/>
      <c r="AB57" s="172"/>
      <c r="AC57" s="172"/>
      <c r="AD57" s="172"/>
    </row>
    <row r="58" customFormat="false" ht="12" hidden="false" customHeight="true" outlineLevel="0" collapsed="false">
      <c r="A58" s="31" t="e">
        <f aca="false">IF(#REF!="","",#REF!)</f>
        <v>#REF!</v>
      </c>
      <c r="B58" s="101" t="e">
        <f aca="false">IF(#REF!="","",#REF!)</f>
        <v>#REF!</v>
      </c>
      <c r="C58" s="101" t="e">
        <f aca="false">IF(#REF!="","",#REF!)</f>
        <v>#REF!</v>
      </c>
      <c r="D58" s="31" t="e">
        <f aca="false">IF(#REF!="","",#REF!)</f>
        <v>#REF!</v>
      </c>
      <c r="E58" s="187" t="e">
        <f aca="false">IF(#REF!="","",#REF!)</f>
        <v>#REF!</v>
      </c>
      <c r="F58" s="188" t="e">
        <f aca="false">IF(#REF!="","",#REF!)</f>
        <v>#REF!</v>
      </c>
      <c r="G58" s="31" t="e">
        <f aca="false">IF('глубина-день'!#ref!="","",'глубина-день'!#ref!)</f>
        <v>#VALUE!</v>
      </c>
      <c r="H58" s="31" t="e">
        <f aca="false">IF(#REF!="","",#REF!)</f>
        <v>#REF!</v>
      </c>
      <c r="I58" s="31" t="e">
        <f aca="false">IF(#REF!="","",#REF!)</f>
        <v>#REF!</v>
      </c>
      <c r="J58" s="189" t="e">
        <f aca="false">IF(#REF!="","",#REF!)</f>
        <v>#REF!</v>
      </c>
      <c r="K58" s="31" t="e">
        <f aca="false">IF(#REF!="","",#REF!)</f>
        <v>#REF!</v>
      </c>
      <c r="L58" s="190" t="e">
        <f aca="false">IF('глубина-день'!#ref!="","",'глубина-день'!#ref!)</f>
        <v>#VALUE!</v>
      </c>
      <c r="M58" s="26"/>
      <c r="N58" s="31"/>
      <c r="O58" s="191"/>
      <c r="P58" s="172"/>
      <c r="Q58" s="172"/>
      <c r="R58" s="172"/>
      <c r="S58" s="172"/>
      <c r="W58" s="172"/>
      <c r="X58" s="172"/>
      <c r="Y58" s="172"/>
      <c r="Z58" s="172"/>
      <c r="AA58" s="172"/>
      <c r="AB58" s="172"/>
      <c r="AC58" s="172"/>
      <c r="AD58" s="172"/>
    </row>
    <row r="59" customFormat="false" ht="12" hidden="false" customHeight="true" outlineLevel="0" collapsed="false">
      <c r="A59" s="31" t="e">
        <f aca="false">IF(#REF!="","",#REF!)</f>
        <v>#REF!</v>
      </c>
      <c r="B59" s="101" t="e">
        <f aca="false">IF(#REF!="","",#REF!)</f>
        <v>#REF!</v>
      </c>
      <c r="C59" s="101" t="e">
        <f aca="false">IF(#REF!="","",#REF!)</f>
        <v>#REF!</v>
      </c>
      <c r="D59" s="31" t="e">
        <f aca="false">IF(#REF!="","",#REF!)</f>
        <v>#REF!</v>
      </c>
      <c r="E59" s="187" t="e">
        <f aca="false">IF(#REF!="","",#REF!)</f>
        <v>#REF!</v>
      </c>
      <c r="F59" s="188" t="e">
        <f aca="false">IF(#REF!="","",#REF!)</f>
        <v>#REF!</v>
      </c>
      <c r="G59" s="31" t="e">
        <f aca="false">IF('глубина-день'!#ref!="","",'глубина-день'!#ref!)</f>
        <v>#VALUE!</v>
      </c>
      <c r="H59" s="31" t="e">
        <f aca="false">IF(#REF!="","",#REF!)</f>
        <v>#REF!</v>
      </c>
      <c r="I59" s="31" t="e">
        <f aca="false">IF(#REF!="","",#REF!)</f>
        <v>#REF!</v>
      </c>
      <c r="J59" s="189" t="e">
        <f aca="false">IF(#REF!="","",#REF!)</f>
        <v>#REF!</v>
      </c>
      <c r="K59" s="31" t="e">
        <f aca="false">IF(#REF!="","",#REF!)</f>
        <v>#REF!</v>
      </c>
      <c r="L59" s="190" t="e">
        <f aca="false">IF('глубина-день'!#ref!="","",'глубина-день'!#ref!)</f>
        <v>#VALUE!</v>
      </c>
      <c r="M59" s="26"/>
      <c r="N59" s="31"/>
      <c r="O59" s="191"/>
      <c r="P59" s="172"/>
      <c r="Q59" s="172"/>
      <c r="R59" s="172"/>
      <c r="S59" s="172"/>
      <c r="W59" s="172"/>
      <c r="X59" s="172"/>
      <c r="Y59" s="172"/>
      <c r="Z59" s="172"/>
      <c r="AA59" s="172"/>
      <c r="AB59" s="172"/>
      <c r="AC59" s="172"/>
      <c r="AD59" s="172"/>
    </row>
    <row r="60" customFormat="false" ht="12" hidden="false" customHeight="true" outlineLevel="0" collapsed="false">
      <c r="A60" s="31" t="e">
        <f aca="false">IF(#REF!="","",#REF!)</f>
        <v>#REF!</v>
      </c>
      <c r="B60" s="101" t="e">
        <f aca="false">IF(#REF!="","",#REF!)</f>
        <v>#REF!</v>
      </c>
      <c r="C60" s="101" t="e">
        <f aca="false">IF(#REF!="","",#REF!)</f>
        <v>#REF!</v>
      </c>
      <c r="D60" s="31" t="e">
        <f aca="false">IF(#REF!="","",#REF!)</f>
        <v>#REF!</v>
      </c>
      <c r="E60" s="187" t="e">
        <f aca="false">IF(#REF!="","",#REF!)</f>
        <v>#REF!</v>
      </c>
      <c r="F60" s="188" t="e">
        <f aca="false">IF(#REF!="","",#REF!)</f>
        <v>#REF!</v>
      </c>
      <c r="G60" s="31" t="e">
        <f aca="false">IF('глубина-день'!#ref!="","",'глубина-день'!#ref!)</f>
        <v>#VALUE!</v>
      </c>
      <c r="H60" s="31" t="e">
        <f aca="false">IF(#REF!="","",#REF!)</f>
        <v>#REF!</v>
      </c>
      <c r="I60" s="31" t="e">
        <f aca="false">IF(#REF!="","",#REF!)</f>
        <v>#REF!</v>
      </c>
      <c r="J60" s="189" t="e">
        <f aca="false">IF(#REF!="","",#REF!)</f>
        <v>#REF!</v>
      </c>
      <c r="K60" s="31" t="e">
        <f aca="false">IF(#REF!="","",#REF!)</f>
        <v>#REF!</v>
      </c>
      <c r="L60" s="190" t="e">
        <f aca="false">IF('глубина-день'!#ref!="","",'глубина-день'!#ref!)</f>
        <v>#VALUE!</v>
      </c>
      <c r="M60" s="26"/>
      <c r="N60" s="31"/>
      <c r="O60" s="191"/>
      <c r="P60" s="172"/>
      <c r="Q60" s="172"/>
      <c r="R60" s="172"/>
      <c r="S60" s="172"/>
      <c r="W60" s="172"/>
      <c r="X60" s="172"/>
      <c r="Y60" s="172"/>
      <c r="Z60" s="172"/>
      <c r="AA60" s="172"/>
      <c r="AB60" s="172"/>
      <c r="AC60" s="172"/>
      <c r="AD60" s="172"/>
    </row>
    <row r="61" customFormat="false" ht="12" hidden="false" customHeight="true" outlineLevel="0" collapsed="false">
      <c r="A61" s="31" t="e">
        <f aca="false">IF(#REF!="","",#REF!)</f>
        <v>#REF!</v>
      </c>
      <c r="B61" s="101" t="e">
        <f aca="false">IF(#REF!="","",#REF!)</f>
        <v>#REF!</v>
      </c>
      <c r="C61" s="101" t="e">
        <f aca="false">IF(#REF!="","",#REF!)</f>
        <v>#REF!</v>
      </c>
      <c r="D61" s="31" t="e">
        <f aca="false">IF(#REF!="","",#REF!)</f>
        <v>#REF!</v>
      </c>
      <c r="E61" s="187" t="e">
        <f aca="false">IF(#REF!="","",#REF!)</f>
        <v>#REF!</v>
      </c>
      <c r="F61" s="188" t="e">
        <f aca="false">IF(#REF!="","",#REF!)</f>
        <v>#REF!</v>
      </c>
      <c r="G61" s="31" t="e">
        <f aca="false">IF('глубина-день'!#ref!="","",'глубина-день'!#ref!)</f>
        <v>#VALUE!</v>
      </c>
      <c r="H61" s="31" t="e">
        <f aca="false">IF(#REF!="","",#REF!)</f>
        <v>#REF!</v>
      </c>
      <c r="I61" s="31" t="e">
        <f aca="false">IF(#REF!="","",#REF!)</f>
        <v>#REF!</v>
      </c>
      <c r="J61" s="189" t="e">
        <f aca="false">IF(#REF!="","",#REF!)</f>
        <v>#REF!</v>
      </c>
      <c r="K61" s="31" t="e">
        <f aca="false">IF(#REF!="","",#REF!)</f>
        <v>#REF!</v>
      </c>
      <c r="L61" s="190" t="e">
        <f aca="false">IF('глубина-день'!#ref!="","",'глубина-день'!#ref!)</f>
        <v>#VALUE!</v>
      </c>
      <c r="M61" s="26"/>
      <c r="N61" s="31"/>
      <c r="O61" s="191"/>
      <c r="P61" s="172"/>
      <c r="Q61" s="172"/>
      <c r="R61" s="172"/>
      <c r="S61" s="172"/>
      <c r="W61" s="172"/>
      <c r="X61" s="172"/>
      <c r="Y61" s="172"/>
      <c r="Z61" s="172"/>
      <c r="AA61" s="172"/>
      <c r="AB61" s="172"/>
      <c r="AC61" s="172"/>
      <c r="AD61" s="172"/>
    </row>
    <row r="62" customFormat="false" ht="12" hidden="false" customHeight="true" outlineLevel="0" collapsed="false">
      <c r="A62" s="31" t="e">
        <f aca="false">IF(#REF!="","",#REF!)</f>
        <v>#REF!</v>
      </c>
      <c r="B62" s="101" t="e">
        <f aca="false">IF(#REF!="","",#REF!)</f>
        <v>#REF!</v>
      </c>
      <c r="C62" s="101" t="e">
        <f aca="false">IF(#REF!="","",#REF!)</f>
        <v>#REF!</v>
      </c>
      <c r="D62" s="31" t="e">
        <f aca="false">IF(#REF!="","",#REF!)</f>
        <v>#REF!</v>
      </c>
      <c r="E62" s="187" t="e">
        <f aca="false">IF(#REF!="","",#REF!)</f>
        <v>#REF!</v>
      </c>
      <c r="F62" s="188" t="e">
        <f aca="false">IF(#REF!="","",#REF!)</f>
        <v>#REF!</v>
      </c>
      <c r="G62" s="31" t="e">
        <f aca="false">IF('глубина-день'!#ref!="","",'глубина-день'!#ref!)</f>
        <v>#VALUE!</v>
      </c>
      <c r="H62" s="31" t="e">
        <f aca="false">IF(#REF!="","",#REF!)</f>
        <v>#REF!</v>
      </c>
      <c r="I62" s="31" t="e">
        <f aca="false">IF(#REF!="","",#REF!)</f>
        <v>#REF!</v>
      </c>
      <c r="J62" s="189" t="e">
        <f aca="false">IF(#REF!="","",#REF!)</f>
        <v>#REF!</v>
      </c>
      <c r="K62" s="31" t="e">
        <f aca="false">IF(#REF!="","",#REF!)</f>
        <v>#REF!</v>
      </c>
      <c r="L62" s="190" t="e">
        <f aca="false">IF('глубина-день'!#ref!="","",'глубина-день'!#ref!)</f>
        <v>#VALUE!</v>
      </c>
      <c r="M62" s="26"/>
      <c r="N62" s="31"/>
      <c r="O62" s="191"/>
      <c r="P62" s="172"/>
      <c r="Q62" s="172"/>
      <c r="R62" s="172"/>
      <c r="S62" s="172"/>
      <c r="W62" s="172"/>
      <c r="X62" s="172"/>
      <c r="Y62" s="172"/>
      <c r="Z62" s="172"/>
      <c r="AA62" s="172"/>
      <c r="AB62" s="172"/>
      <c r="AC62" s="172"/>
      <c r="AD62" s="172"/>
    </row>
    <row r="63" customFormat="false" ht="12" hidden="false" customHeight="true" outlineLevel="0" collapsed="false">
      <c r="A63" s="31" t="e">
        <f aca="false">IF('глубина-день'!#ref!="","",'глубина-день'!#ref!)</f>
        <v>#VALUE!</v>
      </c>
      <c r="B63" s="101" t="e">
        <f aca="false">IF('глубина-день'!#ref!="","",'глубина-день'!#ref!)</f>
        <v>#VALUE!</v>
      </c>
      <c r="C63" s="101" t="e">
        <f aca="false">IF('глубина-день'!#ref!="","",'глубина-день'!#ref!)</f>
        <v>#VALUE!</v>
      </c>
      <c r="D63" s="31" t="e">
        <f aca="false">IF('глубина-день'!#ref!="","",'глубина-день'!#ref!)</f>
        <v>#VALUE!</v>
      </c>
      <c r="E63" s="187" t="e">
        <f aca="false">IF('глубина-день'!#ref!="","",'глубина-день'!#ref!)</f>
        <v>#VALUE!</v>
      </c>
      <c r="F63" s="188" t="e">
        <f aca="false">IF('глубина-день'!#ref!="","",'глубина-день'!#ref!)</f>
        <v>#VALUE!</v>
      </c>
      <c r="G63" s="31" t="e">
        <f aca="false">IF('глубина-день'!#ref!="","",'глубина-день'!#ref!)</f>
        <v>#VALUE!</v>
      </c>
      <c r="H63" s="31" t="e">
        <f aca="false">IF('глубина-день'!#ref!="","",'глубина-день'!#ref!)</f>
        <v>#VALUE!</v>
      </c>
      <c r="I63" s="31" t="e">
        <f aca="false">IF('глубина-день'!#ref!="","",'глубина-день'!#ref!)</f>
        <v>#VALUE!</v>
      </c>
      <c r="J63" s="189" t="e">
        <f aca="false">IF('глубина-день'!#ref!="","",'глубина-день'!#ref!)</f>
        <v>#VALUE!</v>
      </c>
      <c r="K63" s="31" t="e">
        <f aca="false">IF('глубина-день'!#ref!="","",'глубина-день'!#ref!)</f>
        <v>#VALUE!</v>
      </c>
      <c r="L63" s="190" t="e">
        <f aca="false">IF('глубина-день'!#ref!="","",'глубина-день'!#ref!)</f>
        <v>#VALUE!</v>
      </c>
      <c r="M63" s="26"/>
      <c r="N63" s="31"/>
      <c r="O63" s="191"/>
      <c r="P63" s="172"/>
      <c r="Q63" s="172"/>
      <c r="R63" s="172"/>
      <c r="S63" s="172"/>
      <c r="W63" s="172"/>
      <c r="X63" s="172"/>
      <c r="Y63" s="172"/>
      <c r="Z63" s="172"/>
      <c r="AA63" s="172"/>
      <c r="AB63" s="172"/>
      <c r="AC63" s="172"/>
      <c r="AD63" s="172"/>
    </row>
    <row r="64" customFormat="false" ht="12" hidden="false" customHeight="true" outlineLevel="0" collapsed="false">
      <c r="A64" s="31" t="e">
        <f aca="false">IF('глубина-день'!#ref!="","",'глубина-день'!#ref!)</f>
        <v>#VALUE!</v>
      </c>
      <c r="B64" s="101" t="e">
        <f aca="false">IF('глубина-день'!#ref!="","",'глубина-день'!#ref!)</f>
        <v>#VALUE!</v>
      </c>
      <c r="C64" s="101" t="e">
        <f aca="false">IF('глубина-день'!#ref!="","",'глубина-день'!#ref!)</f>
        <v>#VALUE!</v>
      </c>
      <c r="D64" s="31" t="e">
        <f aca="false">IF('глубина-день'!#ref!="","",'глубина-день'!#ref!)</f>
        <v>#VALUE!</v>
      </c>
      <c r="E64" s="187" t="e">
        <f aca="false">IF('глубина-день'!#ref!="","",'глубина-день'!#ref!)</f>
        <v>#VALUE!</v>
      </c>
      <c r="F64" s="188" t="e">
        <f aca="false">IF('глубина-день'!#ref!="","",'глубина-день'!#ref!)</f>
        <v>#VALUE!</v>
      </c>
      <c r="G64" s="31" t="e">
        <f aca="false">IF('глубина-день'!#ref!="","",'глубина-день'!#ref!)</f>
        <v>#VALUE!</v>
      </c>
      <c r="H64" s="31" t="e">
        <f aca="false">IF('глубина-день'!#ref!="","",'глубина-день'!#ref!)</f>
        <v>#VALUE!</v>
      </c>
      <c r="I64" s="31" t="e">
        <f aca="false">IF('глубина-день'!#ref!="","",'глубина-день'!#ref!)</f>
        <v>#VALUE!</v>
      </c>
      <c r="J64" s="189" t="e">
        <f aca="false">IF('глубина-день'!#ref!="","",'глубина-день'!#ref!)</f>
        <v>#VALUE!</v>
      </c>
      <c r="K64" s="31" t="e">
        <f aca="false">IF('глубина-день'!#ref!="","",'глубина-день'!#ref!)</f>
        <v>#VALUE!</v>
      </c>
      <c r="L64" s="190" t="e">
        <f aca="false">IF('глубина-день'!#ref!="","",'глубина-день'!#ref!)</f>
        <v>#VALUE!</v>
      </c>
      <c r="M64" s="26"/>
      <c r="N64" s="31"/>
      <c r="O64" s="191"/>
      <c r="P64" s="172"/>
      <c r="Q64" s="172"/>
      <c r="R64" s="172"/>
      <c r="S64" s="172"/>
      <c r="W64" s="172"/>
      <c r="X64" s="172"/>
      <c r="Y64" s="172"/>
      <c r="Z64" s="172"/>
      <c r="AA64" s="172"/>
      <c r="AB64" s="172"/>
      <c r="AC64" s="172"/>
      <c r="AD64" s="172"/>
    </row>
    <row r="65" customFormat="false" ht="12" hidden="false" customHeight="true" outlineLevel="0" collapsed="false">
      <c r="A65" s="31" t="e">
        <f aca="false">IF('глубина-день'!#ref!="","",'глубина-день'!#ref!)</f>
        <v>#VALUE!</v>
      </c>
      <c r="B65" s="101" t="e">
        <f aca="false">IF('глубина-день'!#ref!="","",'глубина-день'!#ref!)</f>
        <v>#VALUE!</v>
      </c>
      <c r="C65" s="101" t="e">
        <f aca="false">IF('глубина-день'!#ref!="","",'глубина-день'!#ref!)</f>
        <v>#VALUE!</v>
      </c>
      <c r="D65" s="31" t="e">
        <f aca="false">IF('глубина-день'!#ref!="","",'глубина-день'!#ref!)</f>
        <v>#VALUE!</v>
      </c>
      <c r="E65" s="187" t="e">
        <f aca="false">IF('глубина-день'!#ref!="","",'глубина-день'!#ref!)</f>
        <v>#VALUE!</v>
      </c>
      <c r="F65" s="188" t="e">
        <f aca="false">IF('глубина-день'!#ref!="","",'глубина-день'!#ref!)</f>
        <v>#VALUE!</v>
      </c>
      <c r="G65" s="31" t="e">
        <f aca="false">IF('глубина-день'!#ref!="","",'глубина-день'!#ref!)</f>
        <v>#VALUE!</v>
      </c>
      <c r="H65" s="31" t="e">
        <f aca="false">IF('глубина-день'!#ref!="","",'глубина-день'!#ref!)</f>
        <v>#VALUE!</v>
      </c>
      <c r="I65" s="31" t="e">
        <f aca="false">IF('глубина-день'!#ref!="","",'глубина-день'!#ref!)</f>
        <v>#VALUE!</v>
      </c>
      <c r="J65" s="189" t="e">
        <f aca="false">IF('глубина-день'!#ref!="","",'глубина-день'!#ref!)</f>
        <v>#VALUE!</v>
      </c>
      <c r="K65" s="31" t="e">
        <f aca="false">IF('глубина-день'!#ref!="","",'глубина-день'!#ref!)</f>
        <v>#VALUE!</v>
      </c>
      <c r="L65" s="190" t="e">
        <f aca="false">IF('глубина-день'!#ref!="","",'глубина-день'!#ref!)</f>
        <v>#VALUE!</v>
      </c>
      <c r="M65" s="26"/>
      <c r="N65" s="31"/>
      <c r="O65" s="191"/>
      <c r="P65" s="172"/>
      <c r="Q65" s="172"/>
      <c r="R65" s="172"/>
      <c r="S65" s="172"/>
      <c r="W65" s="172"/>
      <c r="X65" s="172"/>
      <c r="Y65" s="172"/>
      <c r="Z65" s="172"/>
      <c r="AA65" s="172"/>
      <c r="AB65" s="172"/>
      <c r="AC65" s="172"/>
      <c r="AD65" s="172"/>
    </row>
    <row r="66" customFormat="false" ht="12" hidden="false" customHeight="true" outlineLevel="0" collapsed="false">
      <c r="A66" s="31" t="e">
        <f aca="false">IF(#REF!="","",#REF!)</f>
        <v>#REF!</v>
      </c>
      <c r="B66" s="101" t="e">
        <f aca="false">IF(#REF!="","",#REF!)</f>
        <v>#REF!</v>
      </c>
      <c r="C66" s="101" t="e">
        <f aca="false">IF(#REF!="","",#REF!)</f>
        <v>#REF!</v>
      </c>
      <c r="D66" s="31" t="e">
        <f aca="false">IF(#REF!="","",#REF!)</f>
        <v>#REF!</v>
      </c>
      <c r="E66" s="187" t="e">
        <f aca="false">IF(#REF!="","",#REF!)</f>
        <v>#REF!</v>
      </c>
      <c r="F66" s="188" t="e">
        <f aca="false">IF(#REF!="","",#REF!)</f>
        <v>#REF!</v>
      </c>
      <c r="G66" s="31" t="e">
        <f aca="false">IF('глубина-день'!#ref!="","",'глубина-день'!#ref!)</f>
        <v>#VALUE!</v>
      </c>
      <c r="H66" s="31" t="e">
        <f aca="false">IF(#REF!="","",#REF!)</f>
        <v>#REF!</v>
      </c>
      <c r="I66" s="31" t="e">
        <f aca="false">IF(#REF!="","",#REF!)</f>
        <v>#REF!</v>
      </c>
      <c r="J66" s="189" t="e">
        <f aca="false">IF(#REF!="","",#REF!)</f>
        <v>#REF!</v>
      </c>
      <c r="K66" s="31" t="e">
        <f aca="false">IF(#REF!="","",#REF!)</f>
        <v>#REF!</v>
      </c>
      <c r="L66" s="190" t="e">
        <f aca="false">IF('глубина-день'!#ref!="","",'глубина-день'!#ref!)</f>
        <v>#VALUE!</v>
      </c>
      <c r="M66" s="26"/>
      <c r="N66" s="31"/>
      <c r="O66" s="191"/>
      <c r="P66" s="172"/>
      <c r="Q66" s="172"/>
      <c r="R66" s="172"/>
      <c r="S66" s="172"/>
      <c r="W66" s="172"/>
      <c r="X66" s="172"/>
      <c r="Y66" s="172"/>
      <c r="Z66" s="172"/>
      <c r="AA66" s="172"/>
      <c r="AB66" s="172"/>
      <c r="AC66" s="172"/>
      <c r="AD66" s="172"/>
    </row>
    <row r="67" customFormat="false" ht="12" hidden="false" customHeight="true" outlineLevel="0" collapsed="false">
      <c r="A67" s="31" t="e">
        <f aca="false">IF(#REF!="","",#REF!)</f>
        <v>#REF!</v>
      </c>
      <c r="B67" s="101" t="e">
        <f aca="false">IF(#REF!="","",#REF!)</f>
        <v>#REF!</v>
      </c>
      <c r="C67" s="101" t="e">
        <f aca="false">IF(#REF!="","",#REF!)</f>
        <v>#REF!</v>
      </c>
      <c r="D67" s="31" t="e">
        <f aca="false">IF(#REF!="","",#REF!)</f>
        <v>#REF!</v>
      </c>
      <c r="E67" s="187" t="e">
        <f aca="false">IF(#REF!="","",#REF!)</f>
        <v>#REF!</v>
      </c>
      <c r="F67" s="188" t="e">
        <f aca="false">IF(#REF!="","",#REF!)</f>
        <v>#REF!</v>
      </c>
      <c r="G67" s="31" t="e">
        <f aca="false">IF('глубина-день'!#ref!="","",'глубина-день'!#ref!)</f>
        <v>#VALUE!</v>
      </c>
      <c r="H67" s="31" t="e">
        <f aca="false">IF(#REF!="","",#REF!)</f>
        <v>#REF!</v>
      </c>
      <c r="I67" s="31" t="e">
        <f aca="false">IF(#REF!="","",#REF!)</f>
        <v>#REF!</v>
      </c>
      <c r="J67" s="189" t="e">
        <f aca="false">IF(#REF!="","",#REF!)</f>
        <v>#REF!</v>
      </c>
      <c r="K67" s="31" t="e">
        <f aca="false">IF(#REF!="","",#REF!)</f>
        <v>#REF!</v>
      </c>
      <c r="L67" s="190" t="e">
        <f aca="false">IF('глубина-день'!#ref!="","",'глубина-день'!#ref!)</f>
        <v>#VALUE!</v>
      </c>
      <c r="M67" s="26"/>
      <c r="N67" s="31"/>
      <c r="O67" s="191"/>
      <c r="P67" s="172"/>
      <c r="Q67" s="172"/>
      <c r="R67" s="172"/>
      <c r="S67" s="172"/>
      <c r="W67" s="172"/>
      <c r="X67" s="172"/>
      <c r="Y67" s="172"/>
      <c r="Z67" s="172"/>
      <c r="AA67" s="172"/>
      <c r="AB67" s="172"/>
      <c r="AC67" s="172"/>
      <c r="AD67" s="172"/>
    </row>
    <row r="68" customFormat="false" ht="12" hidden="false" customHeight="true" outlineLevel="0" collapsed="false">
      <c r="A68" s="31" t="e">
        <f aca="false">IF(#REF!="","",#REF!)</f>
        <v>#REF!</v>
      </c>
      <c r="B68" s="101" t="e">
        <f aca="false">IF(#REF!="","",#REF!)</f>
        <v>#REF!</v>
      </c>
      <c r="C68" s="101" t="e">
        <f aca="false">IF(#REF!="","",#REF!)</f>
        <v>#REF!</v>
      </c>
      <c r="D68" s="31" t="e">
        <f aca="false">IF(#REF!="","",#REF!)</f>
        <v>#REF!</v>
      </c>
      <c r="E68" s="187" t="e">
        <f aca="false">IF(#REF!="","",#REF!)</f>
        <v>#REF!</v>
      </c>
      <c r="F68" s="188" t="e">
        <f aca="false">IF(#REF!="","",#REF!)</f>
        <v>#REF!</v>
      </c>
      <c r="G68" s="31" t="e">
        <f aca="false">IF('глубина-день'!#ref!="","",'глубина-день'!#ref!)</f>
        <v>#VALUE!</v>
      </c>
      <c r="H68" s="31" t="e">
        <f aca="false">IF(#REF!="","",#REF!)</f>
        <v>#REF!</v>
      </c>
      <c r="I68" s="31" t="e">
        <f aca="false">IF(#REF!="","",#REF!)</f>
        <v>#REF!</v>
      </c>
      <c r="J68" s="189" t="e">
        <f aca="false">IF(#REF!="","",#REF!)</f>
        <v>#REF!</v>
      </c>
      <c r="K68" s="31" t="e">
        <f aca="false">IF(#REF!="","",#REF!)</f>
        <v>#REF!</v>
      </c>
      <c r="L68" s="190" t="e">
        <f aca="false">IF('глубина-день'!#ref!="","",'глубина-день'!#ref!)</f>
        <v>#VALUE!</v>
      </c>
      <c r="M68" s="26"/>
      <c r="N68" s="31"/>
      <c r="O68" s="191"/>
      <c r="P68" s="172"/>
      <c r="Q68" s="172"/>
      <c r="R68" s="172"/>
      <c r="S68" s="172"/>
      <c r="W68" s="172"/>
      <c r="X68" s="172"/>
      <c r="Y68" s="172"/>
      <c r="Z68" s="172"/>
      <c r="AA68" s="172"/>
      <c r="AB68" s="172"/>
      <c r="AC68" s="172"/>
      <c r="AD68" s="172"/>
    </row>
    <row r="69" customFormat="false" ht="12" hidden="false" customHeight="true" outlineLevel="0" collapsed="false">
      <c r="A69" s="31" t="e">
        <f aca="false">IF(#REF!="","",#REF!)</f>
        <v>#REF!</v>
      </c>
      <c r="B69" s="101" t="e">
        <f aca="false">IF(#REF!="","",#REF!)</f>
        <v>#REF!</v>
      </c>
      <c r="C69" s="101" t="e">
        <f aca="false">IF(#REF!="","",#REF!)</f>
        <v>#REF!</v>
      </c>
      <c r="D69" s="31" t="e">
        <f aca="false">IF(#REF!="","",#REF!)</f>
        <v>#REF!</v>
      </c>
      <c r="E69" s="187" t="e">
        <f aca="false">IF(#REF!="","",#REF!)</f>
        <v>#REF!</v>
      </c>
      <c r="F69" s="188" t="e">
        <f aca="false">IF(#REF!="","",#REF!)</f>
        <v>#REF!</v>
      </c>
      <c r="G69" s="31" t="e">
        <f aca="false">IF('глубина-день'!#ref!="","",'глубина-день'!#ref!)</f>
        <v>#VALUE!</v>
      </c>
      <c r="H69" s="31" t="e">
        <f aca="false">IF(#REF!="","",#REF!)</f>
        <v>#REF!</v>
      </c>
      <c r="I69" s="31" t="e">
        <f aca="false">IF(#REF!="","",#REF!)</f>
        <v>#REF!</v>
      </c>
      <c r="J69" s="189" t="e">
        <f aca="false">IF(#REF!="","",#REF!)</f>
        <v>#REF!</v>
      </c>
      <c r="K69" s="31" t="e">
        <f aca="false">IF(#REF!="","",#REF!)</f>
        <v>#REF!</v>
      </c>
      <c r="L69" s="190" t="e">
        <f aca="false">IF('глубина-день'!#ref!="","",'глубина-день'!#ref!)</f>
        <v>#VALUE!</v>
      </c>
      <c r="M69" s="26"/>
      <c r="N69" s="31"/>
      <c r="O69" s="191"/>
      <c r="P69" s="172"/>
      <c r="Q69" s="172"/>
      <c r="R69" s="172"/>
      <c r="S69" s="172"/>
      <c r="W69" s="172"/>
      <c r="X69" s="172"/>
      <c r="Y69" s="172"/>
      <c r="Z69" s="172"/>
      <c r="AA69" s="172"/>
      <c r="AB69" s="172"/>
      <c r="AC69" s="172"/>
      <c r="AD69" s="172"/>
    </row>
    <row r="70" customFormat="false" ht="12" hidden="false" customHeight="true" outlineLevel="0" collapsed="false">
      <c r="A70" s="31" t="e">
        <f aca="false">IF('глубина-день'!#ref!="","",'глубина-день'!#ref!)</f>
        <v>#VALUE!</v>
      </c>
      <c r="B70" s="101" t="e">
        <f aca="false">IF('глубина-день'!#ref!="","",'глубина-день'!#ref!)</f>
        <v>#VALUE!</v>
      </c>
      <c r="C70" s="101" t="e">
        <f aca="false">IF('глубина-день'!#ref!="","",'глубина-день'!#ref!)</f>
        <v>#VALUE!</v>
      </c>
      <c r="D70" s="31" t="e">
        <f aca="false">IF('глубина-день'!#ref!="","",'глубина-день'!#ref!)</f>
        <v>#VALUE!</v>
      </c>
      <c r="E70" s="187" t="e">
        <f aca="false">IF('глубина-день'!#ref!="","",'глубина-день'!#ref!)</f>
        <v>#VALUE!</v>
      </c>
      <c r="F70" s="188" t="e">
        <f aca="false">IF('глубина-день'!#ref!="","",'глубина-день'!#ref!)</f>
        <v>#VALUE!</v>
      </c>
      <c r="G70" s="31" t="e">
        <f aca="false">IF('глубина-день'!#ref!="","",'глубина-день'!#ref!)</f>
        <v>#VALUE!</v>
      </c>
      <c r="H70" s="31" t="e">
        <f aca="false">IF('глубина-день'!#ref!="","",'глубина-день'!#ref!)</f>
        <v>#VALUE!</v>
      </c>
      <c r="I70" s="31" t="e">
        <f aca="false">IF('глубина-день'!#ref!="","",'глубина-день'!#ref!)</f>
        <v>#VALUE!</v>
      </c>
      <c r="J70" s="189" t="e">
        <f aca="false">IF('глубина-день'!#ref!="","",'глубина-день'!#ref!)</f>
        <v>#VALUE!</v>
      </c>
      <c r="K70" s="31" t="e">
        <f aca="false">IF('глубина-день'!#ref!="","",'глубина-день'!#ref!)</f>
        <v>#VALUE!</v>
      </c>
      <c r="L70" s="190" t="e">
        <f aca="false">IF('глубина-день'!#ref!="","",'глубина-день'!#ref!)</f>
        <v>#VALUE!</v>
      </c>
      <c r="M70" s="26"/>
      <c r="N70" s="31"/>
      <c r="O70" s="191"/>
      <c r="P70" s="172"/>
      <c r="Q70" s="172"/>
      <c r="R70" s="172"/>
      <c r="S70" s="172"/>
      <c r="W70" s="172"/>
      <c r="X70" s="172"/>
      <c r="Y70" s="172"/>
      <c r="Z70" s="172"/>
      <c r="AA70" s="172"/>
      <c r="AB70" s="172"/>
      <c r="AC70" s="172"/>
      <c r="AD70" s="172"/>
    </row>
    <row r="71" customFormat="false" ht="12" hidden="false" customHeight="true" outlineLevel="0" collapsed="false">
      <c r="A71" s="31" t="e">
        <f aca="false">IF(#REF!="","",#REF!)</f>
        <v>#REF!</v>
      </c>
      <c r="B71" s="101" t="e">
        <f aca="false">IF(#REF!="","",#REF!)</f>
        <v>#REF!</v>
      </c>
      <c r="C71" s="101" t="e">
        <f aca="false">IF(#REF!="","",#REF!)</f>
        <v>#REF!</v>
      </c>
      <c r="D71" s="31" t="e">
        <f aca="false">IF(#REF!="","",#REF!)</f>
        <v>#REF!</v>
      </c>
      <c r="E71" s="187" t="e">
        <f aca="false">IF(#REF!="","",#REF!)</f>
        <v>#REF!</v>
      </c>
      <c r="F71" s="188" t="e">
        <f aca="false">IF(#REF!="","",#REF!)</f>
        <v>#REF!</v>
      </c>
      <c r="G71" s="31" t="e">
        <f aca="false">IF('глубина-день'!#ref!="","",'глубина-день'!#ref!)</f>
        <v>#VALUE!</v>
      </c>
      <c r="H71" s="31" t="e">
        <f aca="false">IF(#REF!="","",#REF!)</f>
        <v>#REF!</v>
      </c>
      <c r="I71" s="31" t="e">
        <f aca="false">IF(#REF!="","",#REF!)</f>
        <v>#REF!</v>
      </c>
      <c r="J71" s="189" t="e">
        <f aca="false">IF(#REF!="","",#REF!)</f>
        <v>#REF!</v>
      </c>
      <c r="K71" s="31" t="e">
        <f aca="false">IF(#REF!="","",#REF!)</f>
        <v>#REF!</v>
      </c>
      <c r="L71" s="190" t="e">
        <f aca="false">IF('глубина-день'!#ref!="","",'глубина-день'!#ref!)</f>
        <v>#VALUE!</v>
      </c>
      <c r="M71" s="26"/>
      <c r="N71" s="31"/>
      <c r="O71" s="191"/>
      <c r="P71" s="172"/>
      <c r="Q71" s="172"/>
      <c r="R71" s="172"/>
      <c r="S71" s="172"/>
      <c r="W71" s="172"/>
      <c r="X71" s="172"/>
      <c r="Y71" s="172"/>
      <c r="Z71" s="172"/>
      <c r="AA71" s="172"/>
      <c r="AB71" s="172"/>
      <c r="AC71" s="172"/>
      <c r="AD71" s="172"/>
    </row>
    <row r="72" customFormat="false" ht="12" hidden="false" customHeight="true" outlineLevel="0" collapsed="false">
      <c r="A72" s="31" t="e">
        <f aca="false">IF('глубина-день'!#ref!="","",'глубина-день'!#ref!)</f>
        <v>#VALUE!</v>
      </c>
      <c r="B72" s="101" t="e">
        <f aca="false">IF(#REF!="","",#REF!)</f>
        <v>#REF!</v>
      </c>
      <c r="C72" s="101" t="e">
        <f aca="false">IF('глубина-день'!#ref!="","",'глубина-день'!#ref!)</f>
        <v>#VALUE!</v>
      </c>
      <c r="D72" s="31" t="e">
        <f aca="false">IF('глубина-день'!#ref!="","",'глубина-день'!#ref!)</f>
        <v>#VALUE!</v>
      </c>
      <c r="E72" s="187" t="e">
        <f aca="false">IF('глубина-день'!#ref!="","",'глубина-день'!#ref!)</f>
        <v>#VALUE!</v>
      </c>
      <c r="F72" s="188" t="e">
        <f aca="false">IF('глубина-день'!#ref!="","",'глубина-день'!#ref!)</f>
        <v>#VALUE!</v>
      </c>
      <c r="G72" s="31" t="e">
        <f aca="false">IF('глубина-день'!#ref!="","",'глубина-день'!#ref!)</f>
        <v>#VALUE!</v>
      </c>
      <c r="H72" s="31" t="e">
        <f aca="false">IF('глубина-день'!#ref!="","",'глубина-день'!#ref!)</f>
        <v>#VALUE!</v>
      </c>
      <c r="I72" s="31" t="e">
        <f aca="false">IF('глубина-день'!#ref!="","",'глубина-день'!#ref!)</f>
        <v>#VALUE!</v>
      </c>
      <c r="J72" s="189" t="e">
        <f aca="false">IF('глубина-день'!#ref!="","",'глубина-день'!#ref!)</f>
        <v>#VALUE!</v>
      </c>
      <c r="K72" s="31" t="e">
        <f aca="false">IF('глубина-день'!#ref!="","",'глубина-день'!#ref!)</f>
        <v>#VALUE!</v>
      </c>
      <c r="L72" s="190" t="e">
        <f aca="false">IF('глубина-день'!#ref!="","",'глубина-день'!#ref!)</f>
        <v>#VALUE!</v>
      </c>
      <c r="M72" s="26"/>
      <c r="N72" s="31"/>
      <c r="O72" s="191"/>
      <c r="P72" s="172"/>
      <c r="Q72" s="172"/>
      <c r="R72" s="172"/>
      <c r="S72" s="172"/>
      <c r="W72" s="172"/>
      <c r="X72" s="172"/>
      <c r="Y72" s="172"/>
      <c r="Z72" s="172"/>
      <c r="AA72" s="172"/>
      <c r="AB72" s="172"/>
      <c r="AC72" s="172"/>
      <c r="AD72" s="172"/>
    </row>
    <row r="73" customFormat="false" ht="12" hidden="false" customHeight="true" outlineLevel="0" collapsed="false">
      <c r="A73" s="31" t="e">
        <f aca="false">IF(#REF!="","",#REF!)</f>
        <v>#REF!</v>
      </c>
      <c r="B73" s="101" t="e">
        <f aca="false">IF(#REF!="","",#REF!)</f>
        <v>#REF!</v>
      </c>
      <c r="C73" s="101" t="e">
        <f aca="false">IF(#REF!="","",#REF!)</f>
        <v>#REF!</v>
      </c>
      <c r="D73" s="31" t="e">
        <f aca="false">IF(#REF!="","",#REF!)</f>
        <v>#REF!</v>
      </c>
      <c r="E73" s="187" t="e">
        <f aca="false">IF(#REF!="","",#REF!)</f>
        <v>#REF!</v>
      </c>
      <c r="F73" s="188" t="e">
        <f aca="false">IF(#REF!="","",#REF!)</f>
        <v>#REF!</v>
      </c>
      <c r="G73" s="31" t="e">
        <f aca="false">IF('глубина-день'!#ref!="","",'глубина-день'!#ref!)</f>
        <v>#VALUE!</v>
      </c>
      <c r="H73" s="31" t="e">
        <f aca="false">IF(#REF!="","",#REF!)</f>
        <v>#REF!</v>
      </c>
      <c r="I73" s="31" t="e">
        <f aca="false">IF(#REF!="","",#REF!)</f>
        <v>#REF!</v>
      </c>
      <c r="J73" s="189" t="e">
        <f aca="false">IF(#REF!="","",#REF!)</f>
        <v>#REF!</v>
      </c>
      <c r="K73" s="31" t="e">
        <f aca="false">IF(#REF!="","",#REF!)</f>
        <v>#REF!</v>
      </c>
      <c r="L73" s="190" t="e">
        <f aca="false">IF('глубина-день'!#ref!="","",'глубина-день'!#ref!)</f>
        <v>#VALUE!</v>
      </c>
      <c r="M73" s="26"/>
      <c r="N73" s="31"/>
      <c r="O73" s="191"/>
      <c r="P73" s="172"/>
      <c r="Q73" s="172"/>
      <c r="R73" s="172"/>
      <c r="S73" s="172"/>
      <c r="W73" s="172"/>
      <c r="X73" s="172"/>
      <c r="Y73" s="172"/>
      <c r="Z73" s="172"/>
      <c r="AA73" s="172"/>
      <c r="AB73" s="172"/>
      <c r="AC73" s="172"/>
      <c r="AD73" s="172"/>
    </row>
    <row r="74" customFormat="false" ht="12" hidden="false" customHeight="true" outlineLevel="0" collapsed="false">
      <c r="A74" s="31" t="e">
        <f aca="false">IF(#REF!="","",#REF!)</f>
        <v>#REF!</v>
      </c>
      <c r="B74" s="101" t="e">
        <f aca="false">IF(#REF!="","",#REF!)</f>
        <v>#REF!</v>
      </c>
      <c r="C74" s="101" t="e">
        <f aca="false">IF(#REF!="","",#REF!)</f>
        <v>#REF!</v>
      </c>
      <c r="D74" s="31" t="e">
        <f aca="false">IF(#REF!="","",#REF!)</f>
        <v>#REF!</v>
      </c>
      <c r="E74" s="187" t="e">
        <f aca="false">IF(#REF!="","",#REF!)</f>
        <v>#REF!</v>
      </c>
      <c r="F74" s="188" t="e">
        <f aca="false">IF(#REF!="","",#REF!)</f>
        <v>#REF!</v>
      </c>
      <c r="G74" s="31" t="e">
        <f aca="false">IF('глубина-день'!#ref!="","",'глубина-день'!#ref!)</f>
        <v>#VALUE!</v>
      </c>
      <c r="H74" s="31" t="e">
        <f aca="false">IF(#REF!="","",#REF!)</f>
        <v>#REF!</v>
      </c>
      <c r="I74" s="31" t="e">
        <f aca="false">IF(#REF!="","",#REF!)</f>
        <v>#REF!</v>
      </c>
      <c r="J74" s="189" t="e">
        <f aca="false">IF(#REF!="","",#REF!)</f>
        <v>#REF!</v>
      </c>
      <c r="K74" s="31" t="e">
        <f aca="false">IF(#REF!="","",#REF!)</f>
        <v>#REF!</v>
      </c>
      <c r="L74" s="190" t="e">
        <f aca="false">IF('глубина-день'!#ref!="","",'глубина-день'!#ref!)</f>
        <v>#VALUE!</v>
      </c>
      <c r="M74" s="26"/>
      <c r="N74" s="31"/>
      <c r="O74" s="191"/>
      <c r="P74" s="172"/>
      <c r="Q74" s="172"/>
      <c r="R74" s="172"/>
      <c r="S74" s="172"/>
      <c r="W74" s="172"/>
      <c r="X74" s="172"/>
      <c r="Y74" s="172"/>
      <c r="Z74" s="172"/>
      <c r="AA74" s="172"/>
      <c r="AB74" s="172"/>
      <c r="AC74" s="172"/>
      <c r="AD74" s="172"/>
    </row>
    <row r="75" customFormat="false" ht="12" hidden="false" customHeight="true" outlineLevel="0" collapsed="false">
      <c r="A75" s="31" t="e">
        <f aca="false">IF(#REF!="","",#REF!)</f>
        <v>#REF!</v>
      </c>
      <c r="B75" s="101" t="e">
        <f aca="false">IF(#REF!="","",#REF!)</f>
        <v>#REF!</v>
      </c>
      <c r="C75" s="101" t="e">
        <f aca="false">IF(#REF!="","",#REF!)</f>
        <v>#REF!</v>
      </c>
      <c r="D75" s="31" t="e">
        <f aca="false">IF(#REF!="","",#REF!)</f>
        <v>#REF!</v>
      </c>
      <c r="E75" s="187" t="e">
        <f aca="false">IF(#REF!="","",#REF!)</f>
        <v>#REF!</v>
      </c>
      <c r="F75" s="188" t="e">
        <f aca="false">IF(#REF!="","",#REF!)</f>
        <v>#REF!</v>
      </c>
      <c r="G75" s="31" t="e">
        <f aca="false">IF('глубина-день'!#ref!="","",'глубина-день'!#ref!)</f>
        <v>#VALUE!</v>
      </c>
      <c r="H75" s="31" t="e">
        <f aca="false">IF(#REF!="","",#REF!)</f>
        <v>#REF!</v>
      </c>
      <c r="I75" s="31" t="e">
        <f aca="false">IF(#REF!="","",#REF!)</f>
        <v>#REF!</v>
      </c>
      <c r="J75" s="189" t="e">
        <f aca="false">IF(#REF!="","",#REF!)</f>
        <v>#REF!</v>
      </c>
      <c r="K75" s="31" t="e">
        <f aca="false">IF(#REF!="","",#REF!)</f>
        <v>#REF!</v>
      </c>
      <c r="L75" s="190" t="e">
        <f aca="false">IF('глубина-день'!#ref!="","",'глубина-день'!#ref!)</f>
        <v>#VALUE!</v>
      </c>
      <c r="M75" s="26"/>
      <c r="N75" s="31"/>
      <c r="O75" s="191"/>
      <c r="P75" s="172"/>
      <c r="Q75" s="172"/>
      <c r="R75" s="172"/>
      <c r="S75" s="172"/>
      <c r="W75" s="172"/>
      <c r="X75" s="172"/>
      <c r="Y75" s="172"/>
      <c r="Z75" s="172"/>
      <c r="AA75" s="172"/>
      <c r="AB75" s="172"/>
      <c r="AC75" s="172"/>
      <c r="AD75" s="172"/>
    </row>
    <row r="76" customFormat="false" ht="12" hidden="false" customHeight="true" outlineLevel="0" collapsed="false">
      <c r="A76" s="31" t="e">
        <f aca="false">IF(#REF!="","",#REF!)</f>
        <v>#REF!</v>
      </c>
      <c r="B76" s="101" t="e">
        <f aca="false">IF(#REF!="","",#REF!)</f>
        <v>#REF!</v>
      </c>
      <c r="C76" s="101" t="e">
        <f aca="false">IF(#REF!="","",#REF!)</f>
        <v>#REF!</v>
      </c>
      <c r="D76" s="31" t="e">
        <f aca="false">IF(#REF!="","",#REF!)</f>
        <v>#REF!</v>
      </c>
      <c r="E76" s="187" t="e">
        <f aca="false">IF(#REF!="","",#REF!)</f>
        <v>#REF!</v>
      </c>
      <c r="F76" s="188" t="e">
        <f aca="false">IF(#REF!="","",#REF!)</f>
        <v>#REF!</v>
      </c>
      <c r="G76" s="31" t="e">
        <f aca="false">IF('глубина-день'!#ref!="","",'глубина-день'!#ref!)</f>
        <v>#VALUE!</v>
      </c>
      <c r="H76" s="31" t="e">
        <f aca="false">IF(#REF!="","",#REF!)</f>
        <v>#REF!</v>
      </c>
      <c r="I76" s="31" t="e">
        <f aca="false">IF(#REF!="","",#REF!)</f>
        <v>#REF!</v>
      </c>
      <c r="J76" s="189" t="e">
        <f aca="false">IF(#REF!="","",#REF!)</f>
        <v>#REF!</v>
      </c>
      <c r="K76" s="31" t="e">
        <f aca="false">IF(#REF!="","",#REF!)</f>
        <v>#REF!</v>
      </c>
      <c r="L76" s="190" t="e">
        <f aca="false">IF('глубина-день'!#ref!="","",'глубина-день'!#ref!)</f>
        <v>#VALUE!</v>
      </c>
      <c r="M76" s="26"/>
      <c r="N76" s="31"/>
      <c r="O76" s="191"/>
      <c r="P76" s="172"/>
      <c r="Q76" s="172"/>
      <c r="R76" s="172"/>
      <c r="S76" s="172"/>
      <c r="W76" s="172"/>
      <c r="X76" s="172"/>
      <c r="Y76" s="172"/>
      <c r="Z76" s="172"/>
      <c r="AA76" s="172"/>
      <c r="AB76" s="172"/>
      <c r="AC76" s="172"/>
      <c r="AD76" s="172"/>
    </row>
    <row r="77" customFormat="false" ht="12" hidden="false" customHeight="true" outlineLevel="0" collapsed="false">
      <c r="A77" s="31" t="e">
        <f aca="false">IF(#REF!="","",#REF!)</f>
        <v>#REF!</v>
      </c>
      <c r="B77" s="101" t="e">
        <f aca="false">IF(#REF!="","",#REF!)</f>
        <v>#REF!</v>
      </c>
      <c r="C77" s="101" t="e">
        <f aca="false">IF(#REF!="","",#REF!)</f>
        <v>#REF!</v>
      </c>
      <c r="D77" s="31" t="e">
        <f aca="false">IF(#REF!="","",#REF!)</f>
        <v>#REF!</v>
      </c>
      <c r="E77" s="187" t="e">
        <f aca="false">IF(#REF!="","",#REF!)</f>
        <v>#REF!</v>
      </c>
      <c r="F77" s="188" t="e">
        <f aca="false">IF(#REF!="","",#REF!)</f>
        <v>#REF!</v>
      </c>
      <c r="G77" s="31" t="e">
        <f aca="false">IF('глубина-день'!#ref!="","",'глубина-день'!#ref!)</f>
        <v>#VALUE!</v>
      </c>
      <c r="H77" s="31" t="e">
        <f aca="false">IF(#REF!="","",#REF!)</f>
        <v>#REF!</v>
      </c>
      <c r="I77" s="31" t="e">
        <f aca="false">IF(#REF!="","",#REF!)</f>
        <v>#REF!</v>
      </c>
      <c r="J77" s="189" t="e">
        <f aca="false">IF(#REF!="","",#REF!)</f>
        <v>#REF!</v>
      </c>
      <c r="K77" s="31" t="e">
        <f aca="false">IF(#REF!="","",#REF!)</f>
        <v>#REF!</v>
      </c>
      <c r="L77" s="190" t="e">
        <f aca="false">IF('глубина-день'!#ref!="","",'глубина-день'!#ref!)</f>
        <v>#VALUE!</v>
      </c>
      <c r="M77" s="26"/>
      <c r="N77" s="31"/>
      <c r="O77" s="191"/>
      <c r="P77" s="172"/>
      <c r="Q77" s="172"/>
      <c r="R77" s="172"/>
      <c r="S77" s="172"/>
      <c r="W77" s="172"/>
      <c r="X77" s="172"/>
      <c r="Y77" s="172"/>
      <c r="Z77" s="172"/>
      <c r="AA77" s="172"/>
      <c r="AB77" s="172"/>
      <c r="AC77" s="172"/>
      <c r="AD77" s="172"/>
    </row>
    <row r="78" customFormat="false" ht="12" hidden="false" customHeight="true" outlineLevel="0" collapsed="false">
      <c r="A78" s="31" t="e">
        <f aca="false">IF(#REF!="","",#REF!)</f>
        <v>#REF!</v>
      </c>
      <c r="B78" s="101" t="e">
        <f aca="false">IF(#REF!="","",#REF!)</f>
        <v>#REF!</v>
      </c>
      <c r="C78" s="101" t="e">
        <f aca="false">IF(#REF!="","",#REF!)</f>
        <v>#REF!</v>
      </c>
      <c r="D78" s="31" t="e">
        <f aca="false">IF(#REF!="","",#REF!)</f>
        <v>#REF!</v>
      </c>
      <c r="E78" s="187" t="e">
        <f aca="false">IF(#REF!="","",#REF!)</f>
        <v>#REF!</v>
      </c>
      <c r="F78" s="188" t="e">
        <f aca="false">IF(#REF!="","",#REF!)</f>
        <v>#REF!</v>
      </c>
      <c r="G78" s="31" t="e">
        <f aca="false">IF('глубина-день'!#ref!="","",'глубина-день'!#ref!)</f>
        <v>#VALUE!</v>
      </c>
      <c r="H78" s="31" t="e">
        <f aca="false">IF(#REF!="","",#REF!)</f>
        <v>#REF!</v>
      </c>
      <c r="I78" s="31" t="e">
        <f aca="false">IF(#REF!="","",#REF!)</f>
        <v>#REF!</v>
      </c>
      <c r="J78" s="189" t="e">
        <f aca="false">IF(#REF!="","",#REF!)</f>
        <v>#REF!</v>
      </c>
      <c r="K78" s="31" t="e">
        <f aca="false">IF(#REF!="","",#REF!)</f>
        <v>#REF!</v>
      </c>
      <c r="L78" s="190" t="e">
        <f aca="false">IF('глубина-день'!#ref!="","",'глубина-день'!#ref!)</f>
        <v>#VALUE!</v>
      </c>
      <c r="M78" s="26"/>
      <c r="N78" s="31"/>
      <c r="O78" s="191"/>
      <c r="P78" s="172"/>
      <c r="Q78" s="172"/>
      <c r="R78" s="172"/>
      <c r="S78" s="172"/>
      <c r="W78" s="172"/>
      <c r="X78" s="172"/>
      <c r="Y78" s="172"/>
      <c r="Z78" s="172"/>
      <c r="AA78" s="172"/>
      <c r="AB78" s="172"/>
      <c r="AC78" s="172"/>
      <c r="AD78" s="172"/>
    </row>
    <row r="79" customFormat="false" ht="12" hidden="false" customHeight="true" outlineLevel="0" collapsed="false">
      <c r="A79" s="31" t="e">
        <f aca="false">IF(#REF!="","",#REF!)</f>
        <v>#REF!</v>
      </c>
      <c r="B79" s="101" t="e">
        <f aca="false">IF(#REF!="","",#REF!)</f>
        <v>#REF!</v>
      </c>
      <c r="C79" s="101" t="e">
        <f aca="false">IF(#REF!="","",#REF!)</f>
        <v>#REF!</v>
      </c>
      <c r="D79" s="31" t="e">
        <f aca="false">IF(#REF!="","",#REF!)</f>
        <v>#REF!</v>
      </c>
      <c r="E79" s="187" t="e">
        <f aca="false">IF(#REF!="","",#REF!)</f>
        <v>#REF!</v>
      </c>
      <c r="F79" s="188" t="e">
        <f aca="false">IF(#REF!="","",#REF!)</f>
        <v>#REF!</v>
      </c>
      <c r="G79" s="31" t="e">
        <f aca="false">IF('глубина-день'!#ref!="","",'глубина-день'!#ref!)</f>
        <v>#VALUE!</v>
      </c>
      <c r="H79" s="31" t="e">
        <f aca="false">IF(#REF!="","",#REF!)</f>
        <v>#REF!</v>
      </c>
      <c r="I79" s="31" t="e">
        <f aca="false">IF(#REF!="","",#REF!)</f>
        <v>#REF!</v>
      </c>
      <c r="J79" s="189" t="e">
        <f aca="false">IF(#REF!="","",#REF!)</f>
        <v>#REF!</v>
      </c>
      <c r="K79" s="31" t="e">
        <f aca="false">IF(#REF!="","",#REF!)</f>
        <v>#REF!</v>
      </c>
      <c r="L79" s="190" t="e">
        <f aca="false">IF('глубина-день'!#ref!="","",'глубина-день'!#ref!)</f>
        <v>#VALUE!</v>
      </c>
      <c r="M79" s="26"/>
      <c r="N79" s="31"/>
      <c r="O79" s="191"/>
      <c r="P79" s="172"/>
      <c r="Q79" s="172"/>
      <c r="R79" s="172"/>
      <c r="S79" s="172"/>
      <c r="W79" s="172"/>
      <c r="X79" s="172"/>
      <c r="Y79" s="172"/>
      <c r="Z79" s="172"/>
      <c r="AA79" s="172"/>
      <c r="AB79" s="172"/>
      <c r="AC79" s="172"/>
      <c r="AD79" s="172"/>
    </row>
    <row r="80" customFormat="false" ht="12" hidden="false" customHeight="true" outlineLevel="0" collapsed="false">
      <c r="A80" s="31" t="e">
        <f aca="false">IF(#REF!="","",#REF!)</f>
        <v>#REF!</v>
      </c>
      <c r="B80" s="101" t="e">
        <f aca="false">IF(#REF!="","",#REF!)</f>
        <v>#REF!</v>
      </c>
      <c r="C80" s="101" t="e">
        <f aca="false">IF(#REF!="","",#REF!)</f>
        <v>#REF!</v>
      </c>
      <c r="D80" s="31" t="e">
        <f aca="false">IF(#REF!="","",#REF!)</f>
        <v>#REF!</v>
      </c>
      <c r="E80" s="187" t="e">
        <f aca="false">IF(#REF!="","",#REF!)</f>
        <v>#REF!</v>
      </c>
      <c r="F80" s="188" t="e">
        <f aca="false">IF(#REF!="","",#REF!)</f>
        <v>#REF!</v>
      </c>
      <c r="G80" s="31" t="e">
        <f aca="false">IF('глубина-день'!#ref!="","",'глубина-день'!#ref!)</f>
        <v>#VALUE!</v>
      </c>
      <c r="H80" s="31" t="e">
        <f aca="false">IF(#REF!="","",#REF!)</f>
        <v>#REF!</v>
      </c>
      <c r="I80" s="31" t="e">
        <f aca="false">IF(#REF!="","",#REF!)</f>
        <v>#REF!</v>
      </c>
      <c r="J80" s="189" t="e">
        <f aca="false">IF(#REF!="","",#REF!)</f>
        <v>#REF!</v>
      </c>
      <c r="K80" s="31" t="e">
        <f aca="false">IF(#REF!="","",#REF!)</f>
        <v>#REF!</v>
      </c>
      <c r="L80" s="190" t="e">
        <f aca="false">IF('глубина-день'!#ref!="","",'глубина-день'!#ref!)</f>
        <v>#VALUE!</v>
      </c>
      <c r="M80" s="26"/>
      <c r="N80" s="31"/>
      <c r="O80" s="191"/>
      <c r="P80" s="172"/>
      <c r="Q80" s="172"/>
      <c r="R80" s="172"/>
      <c r="S80" s="172"/>
      <c r="W80" s="172"/>
      <c r="X80" s="172"/>
      <c r="Y80" s="172"/>
      <c r="Z80" s="172"/>
      <c r="AA80" s="172"/>
      <c r="AB80" s="172"/>
      <c r="AC80" s="172"/>
      <c r="AD80" s="172"/>
    </row>
    <row r="81" customFormat="false" ht="12" hidden="false" customHeight="true" outlineLevel="0" collapsed="false">
      <c r="A81" s="31" t="e">
        <f aca="false">IF(#REF!="","",#REF!)</f>
        <v>#REF!</v>
      </c>
      <c r="B81" s="101" t="e">
        <f aca="false">IF(#REF!="","",#REF!)</f>
        <v>#REF!</v>
      </c>
      <c r="C81" s="101" t="e">
        <f aca="false">IF(#REF!="","",#REF!)</f>
        <v>#REF!</v>
      </c>
      <c r="D81" s="31" t="e">
        <f aca="false">IF(#REF!="","",#REF!)</f>
        <v>#REF!</v>
      </c>
      <c r="E81" s="187" t="e">
        <f aca="false">IF(#REF!="","",#REF!)</f>
        <v>#REF!</v>
      </c>
      <c r="F81" s="188" t="e">
        <f aca="false">IF(#REF!="","",#REF!)</f>
        <v>#REF!</v>
      </c>
      <c r="G81" s="31" t="e">
        <f aca="false">IF('глубина-день'!#ref!="","",'глубина-день'!#ref!)</f>
        <v>#VALUE!</v>
      </c>
      <c r="H81" s="31" t="e">
        <f aca="false">IF(#REF!="","",#REF!)</f>
        <v>#REF!</v>
      </c>
      <c r="I81" s="31" t="e">
        <f aca="false">IF(#REF!="","",#REF!)</f>
        <v>#REF!</v>
      </c>
      <c r="J81" s="189" t="e">
        <f aca="false">IF(#REF!="","",#REF!)</f>
        <v>#REF!</v>
      </c>
      <c r="K81" s="31" t="e">
        <f aca="false">IF(#REF!="","",#REF!)</f>
        <v>#REF!</v>
      </c>
      <c r="L81" s="190" t="e">
        <f aca="false">IF('глубина-день'!#ref!="","",'глубина-день'!#ref!)</f>
        <v>#VALUE!</v>
      </c>
      <c r="M81" s="26"/>
      <c r="N81" s="31"/>
      <c r="O81" s="191"/>
      <c r="P81" s="172"/>
      <c r="Q81" s="172"/>
      <c r="R81" s="172"/>
      <c r="S81" s="172"/>
      <c r="W81" s="172"/>
      <c r="X81" s="172"/>
      <c r="Y81" s="172"/>
      <c r="Z81" s="172"/>
      <c r="AA81" s="172"/>
      <c r="AB81" s="172"/>
      <c r="AC81" s="172"/>
      <c r="AD81" s="172"/>
    </row>
    <row r="82" customFormat="false" ht="12" hidden="false" customHeight="true" outlineLevel="0" collapsed="false">
      <c r="A82" s="31" t="e">
        <f aca="false">IF(#REF!="","",#REF!)</f>
        <v>#REF!</v>
      </c>
      <c r="B82" s="101" t="e">
        <f aca="false">IF(#REF!="","",#REF!)</f>
        <v>#REF!</v>
      </c>
      <c r="C82" s="101" t="e">
        <f aca="false">IF(#REF!="","",#REF!)</f>
        <v>#REF!</v>
      </c>
      <c r="D82" s="31" t="e">
        <f aca="false">IF(#REF!="","",#REF!)</f>
        <v>#REF!</v>
      </c>
      <c r="E82" s="187" t="e">
        <f aca="false">IF(#REF!="","",#REF!)</f>
        <v>#REF!</v>
      </c>
      <c r="F82" s="188" t="e">
        <f aca="false">IF(#REF!="","",#REF!)</f>
        <v>#REF!</v>
      </c>
      <c r="G82" s="31" t="e">
        <f aca="false">IF('глубина-день'!#ref!="","",'глубина-день'!#ref!)</f>
        <v>#VALUE!</v>
      </c>
      <c r="H82" s="31" t="e">
        <f aca="false">IF(#REF!="","",#REF!)</f>
        <v>#REF!</v>
      </c>
      <c r="I82" s="31" t="e">
        <f aca="false">IF(#REF!="","",#REF!)</f>
        <v>#REF!</v>
      </c>
      <c r="J82" s="189" t="e">
        <f aca="false">IF(#REF!="","",#REF!)</f>
        <v>#REF!</v>
      </c>
      <c r="K82" s="31" t="e">
        <f aca="false">IF(#REF!="","",#REF!)</f>
        <v>#REF!</v>
      </c>
      <c r="L82" s="190" t="e">
        <f aca="false">IF('глубина-день'!#ref!="","",'глубина-день'!#ref!)</f>
        <v>#VALUE!</v>
      </c>
      <c r="M82" s="26"/>
      <c r="N82" s="31"/>
      <c r="O82" s="191"/>
      <c r="P82" s="172"/>
      <c r="Q82" s="172"/>
      <c r="R82" s="172"/>
      <c r="S82" s="172"/>
      <c r="W82" s="172"/>
      <c r="X82" s="172"/>
      <c r="Y82" s="172"/>
      <c r="Z82" s="172"/>
      <c r="AA82" s="172"/>
      <c r="AB82" s="172"/>
      <c r="AC82" s="172"/>
      <c r="AD82" s="172"/>
    </row>
    <row r="83" customFormat="false" ht="13.5" hidden="false" customHeight="false" outlineLevel="0" collapsed="false">
      <c r="A83" s="31" t="e">
        <f aca="false">IF(#REF!="","",#REF!)</f>
        <v>#REF!</v>
      </c>
      <c r="B83" s="101" t="e">
        <f aca="false">IF(#REF!="","",#REF!)</f>
        <v>#REF!</v>
      </c>
      <c r="C83" s="101" t="e">
        <f aca="false">IF(#REF!="","",#REF!)</f>
        <v>#REF!</v>
      </c>
      <c r="D83" s="31" t="e">
        <f aca="false">IF(#REF!="","",#REF!)</f>
        <v>#REF!</v>
      </c>
      <c r="E83" s="187" t="e">
        <f aca="false">IF(#REF!="","",#REF!)</f>
        <v>#REF!</v>
      </c>
      <c r="F83" s="188" t="e">
        <f aca="false">IF(#REF!="","",#REF!)</f>
        <v>#REF!</v>
      </c>
      <c r="G83" s="31" t="e">
        <f aca="false">IF('глубина-день'!#ref!="","",'глубина-день'!#ref!)</f>
        <v>#VALUE!</v>
      </c>
      <c r="H83" s="31" t="e">
        <f aca="false">IF(#REF!="","",#REF!)</f>
        <v>#REF!</v>
      </c>
      <c r="I83" s="31" t="e">
        <f aca="false">IF(#REF!="","",#REF!)</f>
        <v>#REF!</v>
      </c>
      <c r="J83" s="189" t="e">
        <f aca="false">IF(#REF!="","",#REF!)</f>
        <v>#REF!</v>
      </c>
      <c r="K83" s="31" t="e">
        <f aca="false">IF(#REF!="","",#REF!)</f>
        <v>#REF!</v>
      </c>
      <c r="L83" s="190" t="e">
        <f aca="false">IF('глубина-день'!#ref!="","",'глубина-день'!#ref!)</f>
        <v>#VALUE!</v>
      </c>
      <c r="M83" s="26"/>
      <c r="N83" s="31"/>
      <c r="O83" s="191"/>
    </row>
    <row r="84" customFormat="false" ht="13.5" hidden="false" customHeight="false" outlineLevel="0" collapsed="false">
      <c r="A84" s="31" t="e">
        <f aca="false">IF(#REF!="","",#REF!)</f>
        <v>#REF!</v>
      </c>
      <c r="B84" s="101" t="e">
        <f aca="false">IF(#REF!="","",#REF!)</f>
        <v>#REF!</v>
      </c>
      <c r="C84" s="101" t="e">
        <f aca="false">IF(#REF!="","",#REF!)</f>
        <v>#REF!</v>
      </c>
      <c r="D84" s="31" t="e">
        <f aca="false">IF(#REF!="","",#REF!)</f>
        <v>#REF!</v>
      </c>
      <c r="E84" s="187" t="e">
        <f aca="false">IF(#REF!="","",#REF!)</f>
        <v>#REF!</v>
      </c>
      <c r="F84" s="188" t="e">
        <f aca="false">IF(#REF!="","",#REF!)</f>
        <v>#REF!</v>
      </c>
      <c r="G84" s="31" t="e">
        <f aca="false">IF('глубина-день'!#ref!="","",'глубина-день'!#ref!)</f>
        <v>#VALUE!</v>
      </c>
      <c r="H84" s="31" t="e">
        <f aca="false">IF(#REF!="","",#REF!)</f>
        <v>#REF!</v>
      </c>
      <c r="I84" s="31" t="e">
        <f aca="false">IF(#REF!="","",#REF!)</f>
        <v>#REF!</v>
      </c>
      <c r="J84" s="189" t="e">
        <f aca="false">IF(#REF!="","",#REF!)</f>
        <v>#REF!</v>
      </c>
      <c r="K84" s="31" t="e">
        <f aca="false">IF(#REF!="","",#REF!)</f>
        <v>#REF!</v>
      </c>
      <c r="L84" s="190" t="e">
        <f aca="false">IF('глубина-день'!#ref!="","",'глубина-день'!#ref!)</f>
        <v>#VALUE!</v>
      </c>
      <c r="M84" s="26"/>
      <c r="N84" s="31"/>
      <c r="O84" s="191"/>
    </row>
    <row r="85" customFormat="false" ht="13.5" hidden="false" customHeight="false" outlineLevel="0" collapsed="false">
      <c r="A85" s="31" t="e">
        <f aca="false">IF(#REF!="","",#REF!)</f>
        <v>#REF!</v>
      </c>
      <c r="B85" s="101" t="e">
        <f aca="false">IF(#REF!="","",#REF!)</f>
        <v>#REF!</v>
      </c>
      <c r="C85" s="101" t="e">
        <f aca="false">IF(#REF!="","",#REF!)</f>
        <v>#REF!</v>
      </c>
      <c r="D85" s="31" t="e">
        <f aca="false">IF(#REF!="","",#REF!)</f>
        <v>#REF!</v>
      </c>
      <c r="E85" s="187" t="e">
        <f aca="false">IF(#REF!="","",#REF!)</f>
        <v>#REF!</v>
      </c>
      <c r="F85" s="188" t="e">
        <f aca="false">IF(#REF!="","",#REF!)</f>
        <v>#REF!</v>
      </c>
      <c r="G85" s="31" t="e">
        <f aca="false">IF('глубина-день'!#ref!="","",'глубина-день'!#ref!)</f>
        <v>#VALUE!</v>
      </c>
      <c r="H85" s="31" t="e">
        <f aca="false">IF(#REF!="","",#REF!)</f>
        <v>#REF!</v>
      </c>
      <c r="I85" s="31" t="e">
        <f aca="false">IF(#REF!="","",#REF!)</f>
        <v>#REF!</v>
      </c>
      <c r="J85" s="189" t="e">
        <f aca="false">IF(#REF!="","",#REF!)</f>
        <v>#REF!</v>
      </c>
      <c r="K85" s="31" t="e">
        <f aca="false">IF(#REF!="","",#REF!)</f>
        <v>#REF!</v>
      </c>
      <c r="L85" s="190" t="e">
        <f aca="false">IF('глубина-день'!#ref!="","",'глубина-день'!#ref!)</f>
        <v>#VALUE!</v>
      </c>
      <c r="M85" s="26"/>
      <c r="N85" s="31"/>
      <c r="O85" s="191"/>
    </row>
    <row r="86" customFormat="false" ht="13.5" hidden="false" customHeight="false" outlineLevel="0" collapsed="false">
      <c r="A86" s="31" t="e">
        <f aca="false">IF('глубина-день'!#ref!="","",'глубина-день'!#ref!)</f>
        <v>#VALUE!</v>
      </c>
      <c r="B86" s="101" t="e">
        <f aca="false">IF('глубина-день'!#ref!="","",'глубина-день'!#ref!)</f>
        <v>#VALUE!</v>
      </c>
      <c r="C86" s="101" t="e">
        <f aca="false">IF('глубина-день'!#ref!="","",'глубина-день'!#ref!)</f>
        <v>#VALUE!</v>
      </c>
      <c r="D86" s="31" t="e">
        <f aca="false">IF('глубина-день'!#ref!="","",'глубина-день'!#ref!)</f>
        <v>#VALUE!</v>
      </c>
      <c r="E86" s="187" t="e">
        <f aca="false">IF('глубина-день'!#ref!="","",'глубина-день'!#ref!)</f>
        <v>#VALUE!</v>
      </c>
      <c r="F86" s="188" t="e">
        <f aca="false">IF('глубина-день'!#ref!="","",'глубина-день'!#ref!)</f>
        <v>#VALUE!</v>
      </c>
      <c r="G86" s="31" t="e">
        <f aca="false">IF('глубина-день'!#ref!="","",'глубина-день'!#ref!)</f>
        <v>#VALUE!</v>
      </c>
      <c r="H86" s="31" t="e">
        <f aca="false">IF('глубина-день'!#ref!="","",'глубина-день'!#ref!)</f>
        <v>#VALUE!</v>
      </c>
      <c r="I86" s="31" t="e">
        <f aca="false">IF('глубина-день'!#ref!="","",'глубина-день'!#ref!)</f>
        <v>#VALUE!</v>
      </c>
      <c r="J86" s="189" t="e">
        <f aca="false">IF('глубина-день'!#ref!="","",'глубина-день'!#ref!)</f>
        <v>#VALUE!</v>
      </c>
      <c r="K86" s="31" t="e">
        <f aca="false">IF('глубина-день'!#ref!="","",'глубина-день'!#ref!)</f>
        <v>#VALUE!</v>
      </c>
      <c r="L86" s="190" t="e">
        <f aca="false">IF('глубина-день'!#ref!="","",'глубина-день'!#ref!)</f>
        <v>#VALUE!</v>
      </c>
      <c r="M86" s="26"/>
      <c r="N86" s="31"/>
      <c r="O86" s="191"/>
    </row>
    <row r="87" customFormat="false" ht="13.5" hidden="false" customHeight="false" outlineLevel="0" collapsed="false">
      <c r="A87" s="31" t="str">
        <f aca="false">IF('Глубина-день'!A84="","",'Глубина-день'!A84)</f>
        <v/>
      </c>
      <c r="B87" s="101" t="str">
        <f aca="false">IF('Глубина-день'!B84="","",'Глубина-день'!B84)</f>
        <v/>
      </c>
      <c r="C87" s="101" t="str">
        <f aca="false">IF('Глубина-день'!C84="","",'Глубина-день'!C84)</f>
        <v>Итого, сут.:</v>
      </c>
      <c r="D87" s="31" t="str">
        <f aca="false">IF('Глубина-день'!E84="","",'Глубина-день'!E84)</f>
        <v/>
      </c>
      <c r="E87" s="187" t="str">
        <f aca="false">IF('Глубина-день'!F84="","",'Глубина-день'!F84)</f>
        <v/>
      </c>
      <c r="F87" s="188" t="str">
        <f aca="false">IF('Глубина-день'!G84="","",'Глубина-день'!G84)</f>
        <v/>
      </c>
      <c r="G87" s="31" t="e">
        <f aca="false">IF('глубина-день'!#ref!="","",'глубина-день'!#ref!)</f>
        <v>#VALUE!</v>
      </c>
      <c r="H87" s="31" t="str">
        <f aca="false">IF('Глубина-день'!H84="","",'Глубина-день'!H84)</f>
        <v/>
      </c>
      <c r="I87" s="31" t="n">
        <f aca="false">IF('Глубина-день'!I84="","",'Глубина-день'!I84)</f>
        <v>28.153125</v>
      </c>
      <c r="J87" s="189" t="str">
        <f aca="false">IF('Глубина-день'!J84="","",'Глубина-день'!J84)</f>
        <v/>
      </c>
      <c r="K87" s="31" t="n">
        <f aca="false">IF('Глубина-день'!R84="","",'Глубина-день'!R84)</f>
        <v>28.153125</v>
      </c>
      <c r="L87" s="190" t="e">
        <f aca="false">IF('глубина-день'!#ref!="","",'глубина-день'!#ref!)</f>
        <v>#VALUE!</v>
      </c>
      <c r="M87" s="26"/>
      <c r="N87" s="31"/>
      <c r="O87" s="191"/>
    </row>
  </sheetData>
  <mergeCells count="4">
    <mergeCell ref="A1:C1"/>
    <mergeCell ref="A11:D11"/>
    <mergeCell ref="E11:L11"/>
    <mergeCell ref="M11:O1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00"/>
    <pageSetUpPr fitToPage="true"/>
  </sheetPr>
  <dimension ref="B4:AN113"/>
  <sheetViews>
    <sheetView showFormulas="false" showGridLines="true" showRowColHeaders="true" showZeros="true" rightToLeft="false" tabSelected="false" showOutlineSymbols="true" defaultGridColor="true" view="normal" topLeftCell="A10" colorId="64" zoomScale="110" zoomScaleNormal="110" zoomScalePageLayoutView="100" workbookViewId="0">
      <selection pane="topLeft" activeCell="AB27" activeCellId="0" sqref="AB27"/>
    </sheetView>
  </sheetViews>
  <sheetFormatPr defaultColWidth="9.109375" defaultRowHeight="13.5" zeroHeight="false" outlineLevelRow="0" outlineLevelCol="0"/>
  <cols>
    <col collapsed="false" customWidth="false" hidden="false" outlineLevel="0" max="1" min="1" style="192" width="9.11"/>
    <col collapsed="false" customWidth="true" hidden="false" outlineLevel="0" max="2" min="2" style="192" width="11.33"/>
    <col collapsed="false" customWidth="true" hidden="false" outlineLevel="0" max="3" min="3" style="192" width="11"/>
    <col collapsed="false" customWidth="false" hidden="false" outlineLevel="0" max="26" min="4" style="192" width="9.11"/>
    <col collapsed="false" customWidth="true" hidden="false" outlineLevel="0" max="27" min="27" style="192" width="10.44"/>
    <col collapsed="false" customWidth="true" hidden="false" outlineLevel="0" max="32" min="28" style="192" width="9.56"/>
    <col collapsed="false" customWidth="false" hidden="false" outlineLevel="0" max="16384" min="33" style="192" width="9.11"/>
  </cols>
  <sheetData>
    <row r="4" customFormat="false" ht="13.5" hidden="false" customHeight="false" outlineLevel="0" collapsed="false">
      <c r="X4" s="193"/>
      <c r="Y4" s="193" t="s">
        <v>7</v>
      </c>
      <c r="Z4" s="193" t="str">
        <f aca="false">'Глубина-день'!I18</f>
        <v>Время</v>
      </c>
      <c r="AA4" s="193"/>
      <c r="AB4" s="193" t="s">
        <v>7</v>
      </c>
      <c r="AC4" s="193" t="s">
        <v>19</v>
      </c>
      <c r="AD4" s="193"/>
      <c r="AE4" s="193" t="s">
        <v>152</v>
      </c>
      <c r="AF4" s="193"/>
      <c r="AG4" s="193"/>
      <c r="AH4" s="193"/>
      <c r="AI4" s="193"/>
      <c r="AJ4" s="193"/>
      <c r="AK4" s="193"/>
      <c r="AL4" s="193"/>
      <c r="AM4" s="193"/>
      <c r="AN4" s="193"/>
    </row>
    <row r="5" customFormat="false" ht="13.5" hidden="false" customHeight="false" outlineLevel="0" collapsed="false">
      <c r="X5" s="193"/>
      <c r="Y5" s="193"/>
      <c r="Z5" s="193" t="s">
        <v>46</v>
      </c>
      <c r="AA5" s="194" t="s">
        <v>153</v>
      </c>
      <c r="AB5" s="193"/>
      <c r="AC5" s="193" t="s">
        <v>46</v>
      </c>
      <c r="AD5" s="194" t="s">
        <v>153</v>
      </c>
      <c r="AE5" s="193" t="s">
        <v>46</v>
      </c>
      <c r="AF5" s="194" t="s">
        <v>153</v>
      </c>
      <c r="AG5" s="193"/>
      <c r="AH5" s="194"/>
      <c r="AI5" s="193"/>
      <c r="AJ5" s="193"/>
      <c r="AK5" s="194"/>
      <c r="AL5" s="193"/>
      <c r="AM5" s="193"/>
      <c r="AN5" s="194"/>
    </row>
    <row r="6" customFormat="false" ht="13.5" hidden="false" customHeight="false" outlineLevel="0" collapsed="false">
      <c r="X6" s="193" t="n">
        <f aca="false">'Глубина-день'!A20</f>
        <v>1</v>
      </c>
      <c r="Y6" s="193" t="s">
        <v>142</v>
      </c>
      <c r="Z6" s="193" t="n">
        <f aca="false">'Глубина-день'!I20</f>
        <v>0.5</v>
      </c>
      <c r="AA6" s="195" t="n">
        <f aca="false">Z6/24</f>
        <v>0.0208333333333333</v>
      </c>
      <c r="AB6" s="193" t="n">
        <f aca="false">IF('Глубина-день'!K21="",'Глубина-день'!K20,'Глубина-день'!K20)</f>
        <v>0</v>
      </c>
      <c r="AC6" s="193" t="n">
        <f aca="false">IF('Глубина-день'!L20="",'Глубина-день'!I20,'Глубина-день'!L20)</f>
        <v>0.25</v>
      </c>
      <c r="AD6" s="195" t="n">
        <f aca="false">AC6/24</f>
        <v>0.0104166666666667</v>
      </c>
      <c r="AE6" s="193" t="n">
        <f aca="false">'Глубина-день'!R20</f>
        <v>0.5</v>
      </c>
      <c r="AF6" s="195" t="n">
        <f aca="false">AE6/24</f>
        <v>0.0208333333333333</v>
      </c>
      <c r="AG6" s="193"/>
      <c r="AH6" s="196"/>
      <c r="AI6" s="193"/>
      <c r="AJ6" s="193"/>
      <c r="AK6" s="196"/>
      <c r="AL6" s="193"/>
      <c r="AM6" s="193"/>
      <c r="AN6" s="196"/>
    </row>
    <row r="7" customFormat="false" ht="13.5" hidden="false" customHeight="false" outlineLevel="0" collapsed="false">
      <c r="X7" s="193" t="n">
        <f aca="false">'Глубина-день'!A21</f>
        <v>2</v>
      </c>
      <c r="Y7" s="193" t="n">
        <f aca="false">'Глубина-день'!H21</f>
        <v>80</v>
      </c>
      <c r="Z7" s="193" t="n">
        <f aca="false">'Глубина-день'!I21</f>
        <v>2</v>
      </c>
      <c r="AA7" s="195" t="n">
        <f aca="false">Z7/24+AA6</f>
        <v>0.104166666666667</v>
      </c>
      <c r="AB7" s="193" t="n">
        <f aca="false">IF('Глубина-день'!K22="",'Глубина-день'!K21,'Глубина-день'!K21)</f>
        <v>80</v>
      </c>
      <c r="AC7" s="193" t="n">
        <f aca="false">IF('Глубина-день'!L21="",'Глубина-день'!I21,'Глубина-день'!L21)</f>
        <v>1</v>
      </c>
      <c r="AD7" s="195" t="n">
        <f aca="false">AC7/24+AD6</f>
        <v>0.0520833333333333</v>
      </c>
      <c r="AE7" s="193" t="n">
        <f aca="false">'Глубина-день'!R21</f>
        <v>2</v>
      </c>
      <c r="AF7" s="195" t="n">
        <f aca="false">AE7/24+AF6</f>
        <v>0.104166666666667</v>
      </c>
      <c r="AG7" s="193"/>
      <c r="AH7" s="197"/>
      <c r="AI7" s="193"/>
      <c r="AJ7" s="193"/>
      <c r="AK7" s="197"/>
      <c r="AL7" s="193"/>
      <c r="AM7" s="193"/>
      <c r="AN7" s="197"/>
    </row>
    <row r="8" customFormat="false" ht="13.5" hidden="false" customHeight="false" outlineLevel="0" collapsed="false">
      <c r="X8" s="193" t="n">
        <f aca="false">'Глубина-день'!A22</f>
        <v>3</v>
      </c>
      <c r="Y8" s="193" t="n">
        <f aca="false">'Глубина-день'!H22</f>
        <v>80</v>
      </c>
      <c r="Z8" s="193" t="n">
        <f aca="false">'Глубина-день'!I22</f>
        <v>1</v>
      </c>
      <c r="AA8" s="195" t="n">
        <f aca="false">Z8/24+AA7</f>
        <v>0.145833333333333</v>
      </c>
      <c r="AB8" s="193" t="n">
        <f aca="false">IF('Глубина-день'!K23="",'Глубина-день'!K22,'Глубина-день'!K22)</f>
        <v>80</v>
      </c>
      <c r="AC8" s="193" t="n">
        <f aca="false">IF('Глубина-день'!L22="",'Глубина-день'!I22,'Глубина-день'!L22)</f>
        <v>0.5</v>
      </c>
      <c r="AD8" s="195" t="n">
        <f aca="false">AC8/24+AD7</f>
        <v>0.0729166666666667</v>
      </c>
      <c r="AE8" s="193" t="n">
        <f aca="false">'Глубина-день'!R22</f>
        <v>1</v>
      </c>
      <c r="AF8" s="195" t="n">
        <f aca="false">AE8/24+AF7</f>
        <v>0.145833333333333</v>
      </c>
      <c r="AG8" s="193"/>
      <c r="AH8" s="197"/>
      <c r="AI8" s="193"/>
      <c r="AJ8" s="193"/>
      <c r="AK8" s="197"/>
      <c r="AL8" s="193"/>
      <c r="AM8" s="193"/>
      <c r="AN8" s="197"/>
    </row>
    <row r="9" customFormat="false" ht="13.5" hidden="false" customHeight="false" outlineLevel="0" collapsed="false">
      <c r="X9" s="193" t="n">
        <f aca="false">'Глубина-день'!A23</f>
        <v>4</v>
      </c>
      <c r="Y9" s="193" t="n">
        <f aca="false">'Глубина-день'!H23</f>
        <v>80</v>
      </c>
      <c r="Z9" s="193" t="n">
        <f aca="false">'Глубина-день'!I23</f>
        <v>0.5</v>
      </c>
      <c r="AA9" s="195" t="n">
        <f aca="false">Z9/24+AA8</f>
        <v>0.166666666666667</v>
      </c>
      <c r="AB9" s="193" t="n">
        <f aca="false">IF('Глубина-день'!K24="",'Глубина-день'!K23,'Глубина-день'!K23)</f>
        <v>80</v>
      </c>
      <c r="AC9" s="193" t="n">
        <f aca="false">IF('Глубина-день'!L23="",'Глубина-день'!I23,'Глубина-день'!L23)</f>
        <v>0.5</v>
      </c>
      <c r="AD9" s="195" t="n">
        <f aca="false">AC9/24+AD8</f>
        <v>0.09375</v>
      </c>
      <c r="AE9" s="193" t="n">
        <f aca="false">'Глубина-день'!R23</f>
        <v>0.5</v>
      </c>
      <c r="AF9" s="195" t="n">
        <f aca="false">AE9/24+AF8</f>
        <v>0.166666666666667</v>
      </c>
      <c r="AG9" s="193"/>
      <c r="AH9" s="197"/>
      <c r="AI9" s="193"/>
      <c r="AJ9" s="193"/>
      <c r="AK9" s="197"/>
      <c r="AL9" s="193"/>
      <c r="AM9" s="193"/>
      <c r="AN9" s="197"/>
    </row>
    <row r="10" customFormat="false" ht="13.5" hidden="false" customHeight="false" outlineLevel="0" collapsed="false">
      <c r="X10" s="193" t="n">
        <f aca="false">'Глубина-день'!A24</f>
        <v>5</v>
      </c>
      <c r="Y10" s="193" t="n">
        <f aca="false">'Глубина-день'!H24</f>
        <v>80</v>
      </c>
      <c r="Z10" s="193" t="n">
        <f aca="false">'Глубина-день'!I24</f>
        <v>0.5</v>
      </c>
      <c r="AA10" s="195" t="n">
        <f aca="false">Z10/24+AA9</f>
        <v>0.1875</v>
      </c>
      <c r="AB10" s="193" t="n">
        <f aca="false">IF('Глубина-день'!K25="",'Глубина-день'!K24,'Глубина-день'!K24)</f>
        <v>80</v>
      </c>
      <c r="AC10" s="193" t="n">
        <f aca="false">IF('Глубина-день'!L24="",'Глубина-день'!I24,'Глубина-день'!L24)</f>
        <v>0.25</v>
      </c>
      <c r="AD10" s="195" t="n">
        <f aca="false">AC10/24+AD9</f>
        <v>0.104166666666667</v>
      </c>
      <c r="AE10" s="193" t="n">
        <f aca="false">'Глубина-день'!R24</f>
        <v>0.5</v>
      </c>
      <c r="AF10" s="195" t="n">
        <f aca="false">AE10/24+AF9</f>
        <v>0.1875</v>
      </c>
      <c r="AG10" s="193"/>
      <c r="AH10" s="197"/>
      <c r="AI10" s="193"/>
      <c r="AJ10" s="193"/>
      <c r="AK10" s="197"/>
      <c r="AL10" s="193"/>
      <c r="AM10" s="193"/>
      <c r="AN10" s="197"/>
    </row>
    <row r="11" customFormat="false" ht="13.5" hidden="false" customHeight="false" outlineLevel="0" collapsed="false">
      <c r="X11" s="193" t="n">
        <f aca="false">'Глубина-день'!A25</f>
        <v>6</v>
      </c>
      <c r="Y11" s="193" t="n">
        <f aca="false">'Глубина-день'!H25</f>
        <v>80</v>
      </c>
      <c r="Z11" s="193" t="n">
        <f aca="false">'Глубина-день'!I25</f>
        <v>2</v>
      </c>
      <c r="AA11" s="195" t="n">
        <f aca="false">Z11/24+AA10</f>
        <v>0.270833333333333</v>
      </c>
      <c r="AB11" s="193" t="n">
        <f aca="false">IF('Глубина-день'!K26="",'Глубина-день'!K25,'Глубина-день'!K25)</f>
        <v>80</v>
      </c>
      <c r="AC11" s="193" t="n">
        <f aca="false">IF('Глубина-день'!L25="",'Глубина-день'!I25,'Глубина-день'!L25)</f>
        <v>1.25</v>
      </c>
      <c r="AD11" s="195" t="n">
        <f aca="false">AC11/24+AD10</f>
        <v>0.15625</v>
      </c>
      <c r="AE11" s="193" t="n">
        <f aca="false">'Глубина-день'!R25</f>
        <v>2</v>
      </c>
      <c r="AF11" s="195" t="n">
        <f aca="false">AE11/24+AF10</f>
        <v>0.270833333333333</v>
      </c>
      <c r="AG11" s="193"/>
      <c r="AH11" s="197"/>
      <c r="AI11" s="193"/>
      <c r="AJ11" s="193"/>
      <c r="AK11" s="197"/>
      <c r="AL11" s="193"/>
      <c r="AM11" s="193"/>
      <c r="AN11" s="197"/>
    </row>
    <row r="12" customFormat="false" ht="13.5" hidden="false" customHeight="false" outlineLevel="0" collapsed="false">
      <c r="X12" s="193" t="n">
        <f aca="false">'Глубина-день'!A26</f>
        <v>7</v>
      </c>
      <c r="Y12" s="193" t="n">
        <f aca="false">'Глубина-день'!H26</f>
        <v>80</v>
      </c>
      <c r="Z12" s="193" t="n">
        <f aca="false">'Глубина-день'!I26</f>
        <v>0.5</v>
      </c>
      <c r="AA12" s="195" t="n">
        <f aca="false">Z12/24+AA11</f>
        <v>0.291666666666667</v>
      </c>
      <c r="AB12" s="193" t="n">
        <f aca="false">IF('Глубина-день'!K27="",'Глубина-день'!K26,'Глубина-день'!K26)</f>
        <v>80</v>
      </c>
      <c r="AC12" s="193" t="n">
        <f aca="false">IF('Глубина-день'!L26="",'Глубина-день'!I26,'Глубина-день'!L26)</f>
        <v>0.25</v>
      </c>
      <c r="AD12" s="195" t="n">
        <f aca="false">AC12/24+AD11</f>
        <v>0.166666666666667</v>
      </c>
      <c r="AE12" s="193" t="n">
        <f aca="false">'Глубина-день'!R26</f>
        <v>0.5</v>
      </c>
      <c r="AF12" s="195" t="n">
        <f aca="false">AE12/24+AF11</f>
        <v>0.291666666666667</v>
      </c>
      <c r="AG12" s="193"/>
      <c r="AH12" s="197"/>
      <c r="AI12" s="193"/>
      <c r="AJ12" s="193"/>
      <c r="AK12" s="197"/>
      <c r="AL12" s="193"/>
      <c r="AM12" s="193"/>
      <c r="AN12" s="197"/>
    </row>
    <row r="13" customFormat="false" ht="13.5" hidden="false" customHeight="false" outlineLevel="0" collapsed="false">
      <c r="X13" s="193" t="n">
        <f aca="false">'Глубина-день'!A27</f>
        <v>8</v>
      </c>
      <c r="Y13" s="193" t="n">
        <f aca="false">'Глубина-день'!H27</f>
        <v>80</v>
      </c>
      <c r="Z13" s="193" t="n">
        <f aca="false">'Глубина-день'!I27</f>
        <v>1.5</v>
      </c>
      <c r="AA13" s="195" t="n">
        <f aca="false">Z13/24+AA12</f>
        <v>0.354166666666667</v>
      </c>
      <c r="AB13" s="193" t="n">
        <f aca="false">IF('Глубина-день'!K28="",'Глубина-день'!K27,'Глубина-день'!K27)</f>
        <v>80</v>
      </c>
      <c r="AC13" s="193" t="n">
        <f aca="false">IF('Глубина-день'!L27="",'Глубина-день'!I27,'Глубина-день'!L27)</f>
        <v>1</v>
      </c>
      <c r="AD13" s="195" t="n">
        <f aca="false">AC13/24+AD12</f>
        <v>0.208333333333333</v>
      </c>
      <c r="AE13" s="193" t="n">
        <f aca="false">'Глубина-день'!R27</f>
        <v>1.5</v>
      </c>
      <c r="AF13" s="195" t="n">
        <f aca="false">AE13/24+AF12</f>
        <v>0.354166666666667</v>
      </c>
      <c r="AG13" s="193"/>
      <c r="AH13" s="197"/>
      <c r="AI13" s="193"/>
      <c r="AJ13" s="193"/>
      <c r="AK13" s="197"/>
      <c r="AL13" s="193"/>
      <c r="AM13" s="193"/>
      <c r="AN13" s="197"/>
    </row>
    <row r="14" customFormat="false" ht="13.5" hidden="false" customHeight="false" outlineLevel="0" collapsed="false">
      <c r="X14" s="193" t="n">
        <f aca="false">'Глубина-день'!A28</f>
        <v>9</v>
      </c>
      <c r="Y14" s="193" t="n">
        <f aca="false">'Глубина-день'!H28</f>
        <v>80</v>
      </c>
      <c r="Z14" s="193" t="n">
        <f aca="false">'Глубина-день'!I28</f>
        <v>8</v>
      </c>
      <c r="AA14" s="195" t="n">
        <f aca="false">Z14/24+AA13</f>
        <v>0.6875</v>
      </c>
      <c r="AB14" s="193" t="n">
        <f aca="false">IF('Глубина-день'!K29="",'Глубина-день'!K28,'Глубина-день'!K28)</f>
        <v>80</v>
      </c>
      <c r="AC14" s="193" t="n">
        <f aca="false">IF('Глубина-день'!L28="",'Глубина-день'!I28,'Глубина-день'!L28)</f>
        <v>5</v>
      </c>
      <c r="AD14" s="195" t="n">
        <f aca="false">AC14/24+AD13</f>
        <v>0.416666666666667</v>
      </c>
      <c r="AE14" s="193" t="n">
        <f aca="false">'Глубина-день'!R28</f>
        <v>8</v>
      </c>
      <c r="AF14" s="195" t="n">
        <f aca="false">AE14/24+AF13</f>
        <v>0.6875</v>
      </c>
      <c r="AG14" s="193"/>
      <c r="AH14" s="197"/>
      <c r="AI14" s="193"/>
      <c r="AJ14" s="193"/>
      <c r="AK14" s="197"/>
      <c r="AL14" s="193"/>
      <c r="AM14" s="193"/>
      <c r="AN14" s="197"/>
    </row>
    <row r="15" customFormat="false" ht="13.5" hidden="false" customHeight="false" outlineLevel="0" collapsed="false">
      <c r="X15" s="193" t="n">
        <f aca="false">'Глубина-день'!A29</f>
        <v>10</v>
      </c>
      <c r="Y15" s="193" t="n">
        <f aca="false">'Глубина-день'!H29</f>
        <v>80</v>
      </c>
      <c r="Z15" s="193" t="n">
        <f aca="false">'Глубина-день'!I29</f>
        <v>7.5</v>
      </c>
      <c r="AA15" s="195" t="n">
        <f aca="false">Z15/24+AA14</f>
        <v>1</v>
      </c>
      <c r="AB15" s="193" t="n">
        <f aca="false">IF('Глубина-день'!K30="",'Глубина-день'!K29,'Глубина-день'!K29)</f>
        <v>80</v>
      </c>
      <c r="AC15" s="193" t="n">
        <f aca="false">IF('Глубина-день'!L29="",'Глубина-день'!I29,'Глубина-день'!L29)</f>
        <v>2</v>
      </c>
      <c r="AD15" s="195" t="n">
        <f aca="false">AC15/24+AD14</f>
        <v>0.5</v>
      </c>
      <c r="AE15" s="193" t="n">
        <f aca="false">'Глубина-день'!R29</f>
        <v>7.5</v>
      </c>
      <c r="AF15" s="195" t="n">
        <f aca="false">AE15/24+AF14</f>
        <v>1</v>
      </c>
      <c r="AG15" s="193"/>
      <c r="AH15" s="197"/>
      <c r="AI15" s="193"/>
      <c r="AJ15" s="193"/>
      <c r="AK15" s="197"/>
      <c r="AL15" s="193"/>
      <c r="AM15" s="193"/>
      <c r="AN15" s="197"/>
    </row>
    <row r="16" customFormat="false" ht="13.5" hidden="false" customHeight="false" outlineLevel="0" collapsed="false">
      <c r="X16" s="193" t="n">
        <f aca="false">'Глубина-день'!A30</f>
        <v>11</v>
      </c>
      <c r="Y16" s="193" t="n">
        <f aca="false">'Глубина-день'!H30</f>
        <v>80</v>
      </c>
      <c r="Z16" s="193" t="n">
        <f aca="false">'Глубина-день'!I30</f>
        <v>3</v>
      </c>
      <c r="AA16" s="195" t="n">
        <f aca="false">Z16/24+AA15</f>
        <v>1.125</v>
      </c>
      <c r="AB16" s="193" t="n">
        <f aca="false">IF('Глубина-день'!K31="",'Глубина-день'!K30,'Глубина-день'!K30)</f>
        <v>80</v>
      </c>
      <c r="AC16" s="193" t="n">
        <f aca="false">IF('Глубина-день'!L30="",'Глубина-день'!I30,'Глубина-день'!L30)</f>
        <v>2</v>
      </c>
      <c r="AD16" s="195" t="n">
        <f aca="false">AC16/24+AD15</f>
        <v>0.583333333333333</v>
      </c>
      <c r="AE16" s="193" t="n">
        <f aca="false">'Глубина-день'!R30</f>
        <v>3</v>
      </c>
      <c r="AF16" s="195" t="n">
        <f aca="false">AE16/24+AF15</f>
        <v>1.125</v>
      </c>
      <c r="AG16" s="193"/>
      <c r="AH16" s="197"/>
      <c r="AI16" s="193"/>
      <c r="AJ16" s="193"/>
      <c r="AK16" s="197"/>
      <c r="AL16" s="193"/>
      <c r="AM16" s="193"/>
      <c r="AN16" s="197"/>
    </row>
    <row r="17" customFormat="false" ht="13.5" hidden="false" customHeight="false" outlineLevel="0" collapsed="false">
      <c r="X17" s="193" t="n">
        <f aca="false">'Глубина-день'!A31</f>
        <v>12</v>
      </c>
      <c r="Y17" s="193" t="n">
        <f aca="false">'Глубина-день'!H31</f>
        <v>80</v>
      </c>
      <c r="Z17" s="193" t="n">
        <f aca="false">'Глубина-день'!I31</f>
        <v>2</v>
      </c>
      <c r="AA17" s="195" t="n">
        <f aca="false">Z17/24+AA16</f>
        <v>1.20833333333333</v>
      </c>
      <c r="AB17" s="193" t="n">
        <f aca="false">IF('Глубина-день'!K32="",'Глубина-день'!K31,'Глубина-день'!K31)</f>
        <v>80</v>
      </c>
      <c r="AC17" s="193" t="n">
        <f aca="false">IF('Глубина-день'!L31="",'Глубина-день'!I31,'Глубина-день'!L31)</f>
        <v>0.75</v>
      </c>
      <c r="AD17" s="195" t="n">
        <f aca="false">AC17/24+AD16</f>
        <v>0.614583333333333</v>
      </c>
      <c r="AE17" s="193" t="n">
        <f aca="false">'Глубина-день'!R31</f>
        <v>2</v>
      </c>
      <c r="AF17" s="195" t="n">
        <f aca="false">AE17/24+AF16</f>
        <v>1.20833333333333</v>
      </c>
      <c r="AG17" s="193"/>
      <c r="AH17" s="197"/>
      <c r="AI17" s="193"/>
      <c r="AJ17" s="193"/>
      <c r="AK17" s="197"/>
      <c r="AL17" s="193"/>
      <c r="AM17" s="193"/>
      <c r="AN17" s="197"/>
    </row>
    <row r="18" customFormat="false" ht="13.5" hidden="false" customHeight="false" outlineLevel="0" collapsed="false">
      <c r="X18" s="193" t="n">
        <f aca="false">'Глубина-день'!A32</f>
        <v>13</v>
      </c>
      <c r="Y18" s="193" t="n">
        <f aca="false">'Глубина-день'!H32</f>
        <v>82</v>
      </c>
      <c r="Z18" s="193" t="n">
        <f aca="false">'Глубина-день'!I32</f>
        <v>2</v>
      </c>
      <c r="AA18" s="195" t="n">
        <f aca="false">Z18/24+AA17</f>
        <v>1.29166666666667</v>
      </c>
      <c r="AB18" s="193" t="n">
        <f aca="false">IF('Глубина-день'!K33="",'Глубина-день'!K32,'Глубина-день'!K32)</f>
        <v>80</v>
      </c>
      <c r="AC18" s="193" t="n">
        <f aca="false">IF('Глубина-день'!L32="",'Глубина-день'!I32,'Глубина-день'!L32)</f>
        <v>0.25</v>
      </c>
      <c r="AD18" s="195" t="n">
        <f aca="false">AC18/24+AD17</f>
        <v>0.625</v>
      </c>
      <c r="AE18" s="193" t="n">
        <f aca="false">'Глубина-день'!R32</f>
        <v>2</v>
      </c>
      <c r="AF18" s="195" t="n">
        <f aca="false">AE18/24+AF17</f>
        <v>1.29166666666667</v>
      </c>
      <c r="AG18" s="193"/>
      <c r="AH18" s="197"/>
      <c r="AI18" s="193"/>
      <c r="AJ18" s="193"/>
      <c r="AK18" s="197"/>
      <c r="AL18" s="193"/>
      <c r="AM18" s="193"/>
      <c r="AN18" s="197"/>
    </row>
    <row r="19" customFormat="false" ht="13.5" hidden="false" customHeight="false" outlineLevel="0" collapsed="false">
      <c r="X19" s="193" t="n">
        <f aca="false">'Глубина-день'!A33</f>
        <v>14</v>
      </c>
      <c r="Y19" s="193" t="n">
        <f aca="false">'Глубина-день'!H33</f>
        <v>1500</v>
      </c>
      <c r="Z19" s="193" t="n">
        <f aca="false">'Глубина-день'!I33</f>
        <v>32</v>
      </c>
      <c r="AA19" s="195" t="n">
        <f aca="false">Z19/24+AA18</f>
        <v>2.625</v>
      </c>
      <c r="AB19" s="193" t="n">
        <f aca="false">IF('Глубина-день'!K34="",'Глубина-день'!K33,'Глубина-день'!K33)</f>
        <v>1408</v>
      </c>
      <c r="AC19" s="193" t="n">
        <f aca="false">IF('Глубина-день'!L33="",'Глубина-день'!I33,'Глубина-день'!L33)</f>
        <v>24.75</v>
      </c>
      <c r="AD19" s="195" t="n">
        <f aca="false">AC19/24+AD18</f>
        <v>1.65625</v>
      </c>
      <c r="AE19" s="193" t="n">
        <f aca="false">'Глубина-день'!R33</f>
        <v>32</v>
      </c>
      <c r="AF19" s="195" t="n">
        <f aca="false">AE19/24+AF18</f>
        <v>2.625</v>
      </c>
      <c r="AG19" s="193"/>
      <c r="AH19" s="197"/>
      <c r="AI19" s="193"/>
      <c r="AJ19" s="193"/>
      <c r="AK19" s="197"/>
      <c r="AL19" s="193"/>
      <c r="AM19" s="193"/>
      <c r="AN19" s="197"/>
    </row>
    <row r="20" customFormat="false" ht="13.5" hidden="false" customHeight="false" outlineLevel="0" collapsed="false">
      <c r="X20" s="193" t="n">
        <f aca="false">'Глубина-день'!A34</f>
        <v>15</v>
      </c>
      <c r="Y20" s="193" t="n">
        <f aca="false">'Глубина-день'!H34</f>
        <v>1500</v>
      </c>
      <c r="Z20" s="193" t="n">
        <f aca="false">'Глубина-день'!I34</f>
        <v>2.5</v>
      </c>
      <c r="AA20" s="195" t="n">
        <f aca="false">Z20/24+AA19</f>
        <v>2.72916666666667</v>
      </c>
      <c r="AB20" s="193" t="n">
        <f aca="false">IF('Глубина-день'!K35="",'Глубина-день'!K34,'Глубина-день'!K34)</f>
        <v>1408</v>
      </c>
      <c r="AC20" s="193" t="n">
        <f aca="false">IF('Глубина-день'!L34="",'Глубина-день'!I34,'Глубина-день'!L34)</f>
        <v>0.5</v>
      </c>
      <c r="AD20" s="195" t="n">
        <f aca="false">AC20/24+AD19</f>
        <v>1.67708333333333</v>
      </c>
      <c r="AE20" s="193" t="n">
        <f aca="false">'Глубина-день'!R34</f>
        <v>2.5</v>
      </c>
      <c r="AF20" s="195" t="n">
        <f aca="false">AE20/24+AF19</f>
        <v>2.72916666666667</v>
      </c>
      <c r="AG20" s="193"/>
      <c r="AH20" s="197"/>
      <c r="AI20" s="193"/>
      <c r="AJ20" s="193"/>
      <c r="AK20" s="197"/>
      <c r="AL20" s="193"/>
      <c r="AM20" s="193"/>
      <c r="AN20" s="197"/>
    </row>
    <row r="21" customFormat="false" ht="13.5" hidden="false" customHeight="false" outlineLevel="0" collapsed="false">
      <c r="X21" s="193" t="n">
        <f aca="false">'Глубина-день'!A35</f>
        <v>16</v>
      </c>
      <c r="Y21" s="193" t="n">
        <f aca="false">'Глубина-день'!H35</f>
        <v>1500</v>
      </c>
      <c r="Z21" s="193" t="n">
        <f aca="false">'Глубина-день'!I35</f>
        <v>7</v>
      </c>
      <c r="AA21" s="195" t="n">
        <f aca="false">Z21/24+AA20</f>
        <v>3.02083333333333</v>
      </c>
      <c r="AB21" s="193" t="n">
        <f aca="false">IF('Глубина-день'!K36="",'Глубина-день'!K35,'Глубина-день'!K35)</f>
        <v>1408</v>
      </c>
      <c r="AC21" s="193" t="n">
        <f aca="false">IF('Глубина-день'!L35="",'Глубина-день'!I35,'Глубина-день'!L35)</f>
        <v>0</v>
      </c>
      <c r="AD21" s="195" t="n">
        <f aca="false">AC21/24+AD20</f>
        <v>1.67708333333333</v>
      </c>
      <c r="AE21" s="193" t="n">
        <f aca="false">'Глубина-день'!R35</f>
        <v>7</v>
      </c>
      <c r="AF21" s="195" t="n">
        <f aca="false">AE21/24+AF20</f>
        <v>3.02083333333333</v>
      </c>
      <c r="AG21" s="193"/>
      <c r="AH21" s="197"/>
      <c r="AI21" s="193"/>
      <c r="AJ21" s="193"/>
      <c r="AK21" s="197"/>
      <c r="AL21" s="193"/>
      <c r="AM21" s="193"/>
      <c r="AN21" s="197"/>
    </row>
    <row r="22" customFormat="false" ht="13.5" hidden="false" customHeight="false" outlineLevel="0" collapsed="false">
      <c r="X22" s="193" t="n">
        <f aca="false">'Глубина-день'!A36</f>
        <v>17</v>
      </c>
      <c r="Y22" s="193" t="n">
        <f aca="false">'Глубина-день'!H36</f>
        <v>1500</v>
      </c>
      <c r="Z22" s="193" t="n">
        <f aca="false">'Глубина-день'!I36</f>
        <v>6</v>
      </c>
      <c r="AA22" s="195" t="n">
        <f aca="false">Z22/24+AA21</f>
        <v>3.27083333333333</v>
      </c>
      <c r="AB22" s="193" t="n">
        <f aca="false">IF('Глубина-день'!K37="",'Глубина-день'!K36,'Глубина-день'!K36)</f>
        <v>1408</v>
      </c>
      <c r="AC22" s="193" t="n">
        <f aca="false">IF('Глубина-день'!L36="",'Глубина-день'!I36,'Глубина-день'!L36)</f>
        <v>0</v>
      </c>
      <c r="AD22" s="195" t="n">
        <f aca="false">AC22/24+AD21</f>
        <v>1.67708333333333</v>
      </c>
      <c r="AE22" s="193" t="n">
        <f aca="false">'Глубина-день'!R36</f>
        <v>6</v>
      </c>
      <c r="AF22" s="195" t="n">
        <f aca="false">AE22/24+AF21</f>
        <v>3.27083333333333</v>
      </c>
      <c r="AG22" s="193"/>
      <c r="AH22" s="197"/>
      <c r="AI22" s="193"/>
      <c r="AJ22" s="193"/>
      <c r="AK22" s="197"/>
      <c r="AL22" s="193"/>
      <c r="AM22" s="193"/>
      <c r="AN22" s="197"/>
    </row>
    <row r="23" customFormat="false" ht="13.5" hidden="false" customHeight="false" outlineLevel="0" collapsed="false">
      <c r="X23" s="193" t="n">
        <f aca="false">'Глубина-день'!A37</f>
        <v>18</v>
      </c>
      <c r="Y23" s="193" t="n">
        <f aca="false">'Глубина-день'!H37</f>
        <v>1500</v>
      </c>
      <c r="Z23" s="193" t="n">
        <f aca="false">'Глубина-день'!I37</f>
        <v>2</v>
      </c>
      <c r="AA23" s="195" t="n">
        <f aca="false">Z23/24+AA22</f>
        <v>3.35416666666667</v>
      </c>
      <c r="AB23" s="193" t="n">
        <f aca="false">IF('Глубина-день'!K38="",'Глубина-день'!K37,'Глубина-день'!K37)</f>
        <v>1408</v>
      </c>
      <c r="AC23" s="193" t="n">
        <f aca="false">IF('Глубина-день'!L37="",'Глубина-день'!I37,'Глубина-день'!L37)</f>
        <v>0</v>
      </c>
      <c r="AD23" s="195" t="n">
        <f aca="false">AC23/24+AD22</f>
        <v>1.67708333333333</v>
      </c>
      <c r="AE23" s="193" t="n">
        <f aca="false">'Глубина-день'!R37</f>
        <v>2</v>
      </c>
      <c r="AF23" s="195" t="n">
        <f aca="false">AE23/24+AF22</f>
        <v>3.35416666666667</v>
      </c>
      <c r="AG23" s="193"/>
      <c r="AH23" s="197"/>
      <c r="AI23" s="193"/>
      <c r="AJ23" s="193"/>
      <c r="AK23" s="197"/>
      <c r="AL23" s="193"/>
      <c r="AM23" s="193"/>
      <c r="AN23" s="197"/>
    </row>
    <row r="24" customFormat="false" ht="13.5" hidden="false" customHeight="false" outlineLevel="0" collapsed="false">
      <c r="X24" s="193" t="n">
        <f aca="false">'Глубина-день'!A38</f>
        <v>19</v>
      </c>
      <c r="Y24" s="193" t="n">
        <f aca="false">'Глубина-день'!H38</f>
        <v>2100</v>
      </c>
      <c r="Z24" s="193" t="n">
        <f aca="false">'Глубина-день'!I38</f>
        <v>34</v>
      </c>
      <c r="AA24" s="195" t="n">
        <f aca="false">Z24/24+AA23</f>
        <v>4.77083333333333</v>
      </c>
      <c r="AB24" s="193" t="n">
        <f aca="false">IF('Глубина-день'!K39="",'Глубина-день'!K38,'Глубина-день'!K38)</f>
        <v>2024</v>
      </c>
      <c r="AC24" s="193" t="n">
        <f aca="false">IF('Глубина-день'!L38="",'Глубина-день'!I38,'Глубина-день'!L38)</f>
        <v>23.75</v>
      </c>
      <c r="AD24" s="195" t="n">
        <f aca="false">AC24/24+AD23</f>
        <v>2.66666666666667</v>
      </c>
      <c r="AE24" s="193" t="n">
        <f aca="false">'Глубина-день'!R38</f>
        <v>34</v>
      </c>
      <c r="AF24" s="195" t="n">
        <f aca="false">AE24/24+AF23</f>
        <v>4.77083333333333</v>
      </c>
      <c r="AG24" s="193"/>
      <c r="AH24" s="197"/>
      <c r="AI24" s="193"/>
      <c r="AJ24" s="193"/>
      <c r="AK24" s="197"/>
      <c r="AL24" s="193"/>
      <c r="AM24" s="193"/>
      <c r="AN24" s="197"/>
    </row>
    <row r="25" customFormat="false" ht="13.5" hidden="false" customHeight="false" outlineLevel="0" collapsed="false">
      <c r="X25" s="193" t="n">
        <f aca="false">'Глубина-день'!A39</f>
        <v>20</v>
      </c>
      <c r="Y25" s="193" t="n">
        <f aca="false">'Глубина-день'!H39</f>
        <v>2060</v>
      </c>
      <c r="Z25" s="193" t="n">
        <f aca="false">'Глубина-день'!I39</f>
        <v>2</v>
      </c>
      <c r="AA25" s="195" t="n">
        <f aca="false">Z25/24+AA24</f>
        <v>4.85416666666667</v>
      </c>
      <c r="AB25" s="193" t="n">
        <f aca="false">IF('Глубина-день'!K40="",'Глубина-день'!K39,'Глубина-день'!K39)</f>
        <v>2024</v>
      </c>
      <c r="AC25" s="193" t="n">
        <f aca="false">IF('Глубина-день'!L39="",'Глубина-день'!I39,'Глубина-день'!L39)</f>
        <v>0.5</v>
      </c>
      <c r="AD25" s="195" t="n">
        <f aca="false">AC25/24+AD24</f>
        <v>2.6875</v>
      </c>
      <c r="AE25" s="193" t="n">
        <f aca="false">'Глубина-день'!R39</f>
        <v>2</v>
      </c>
      <c r="AF25" s="195" t="n">
        <f aca="false">AE25/24+AF24</f>
        <v>4.85416666666667</v>
      </c>
      <c r="AG25" s="193"/>
      <c r="AH25" s="197"/>
      <c r="AI25" s="193"/>
      <c r="AJ25" s="193"/>
      <c r="AK25" s="197"/>
      <c r="AL25" s="193"/>
      <c r="AM25" s="193"/>
      <c r="AN25" s="197"/>
    </row>
    <row r="26" customFormat="false" ht="13.5" hidden="false" customHeight="false" outlineLevel="0" collapsed="false">
      <c r="X26" s="193" t="n">
        <f aca="false">'Глубина-день'!A40</f>
        <v>21</v>
      </c>
      <c r="Y26" s="193" t="n">
        <f aca="false">'Глубина-день'!H40</f>
        <v>2543.15</v>
      </c>
      <c r="Z26" s="193" t="n">
        <f aca="false">'Глубина-день'!I40</f>
        <v>34</v>
      </c>
      <c r="AA26" s="195" t="n">
        <f aca="false">Z26/24+AA25</f>
        <v>6.27083333333333</v>
      </c>
      <c r="AB26" s="193" t="n">
        <f aca="false">IF('Глубина-день'!K41="",'Глубина-день'!K40,'Глубина-день'!K40)</f>
        <v>2543</v>
      </c>
      <c r="AC26" s="193" t="n">
        <f aca="false">IF('Глубина-день'!L40="",'Глубина-день'!I40,'Глубина-день'!L40)</f>
        <v>27.75</v>
      </c>
      <c r="AD26" s="195" t="n">
        <f aca="false">AC26/24+AD25</f>
        <v>3.84375</v>
      </c>
      <c r="AE26" s="193" t="n">
        <f aca="false">'Глубина-день'!R40</f>
        <v>34</v>
      </c>
      <c r="AF26" s="195" t="n">
        <f aca="false">AE26/24+AF25</f>
        <v>6.27083333333333</v>
      </c>
      <c r="AG26" s="193"/>
      <c r="AH26" s="197"/>
      <c r="AI26" s="193"/>
      <c r="AJ26" s="193"/>
      <c r="AK26" s="197"/>
      <c r="AL26" s="193"/>
      <c r="AM26" s="193"/>
      <c r="AN26" s="197"/>
    </row>
    <row r="27" customFormat="false" ht="13.5" hidden="false" customHeight="false" outlineLevel="0" collapsed="false">
      <c r="X27" s="193" t="n">
        <f aca="false">'Глубина-день'!A41</f>
        <v>22</v>
      </c>
      <c r="Y27" s="193" t="n">
        <f aca="false">'Глубина-день'!H41</f>
        <v>2543.15</v>
      </c>
      <c r="Z27" s="193" t="n">
        <f aca="false">'Глубина-день'!I41</f>
        <v>3</v>
      </c>
      <c r="AA27" s="195" t="n">
        <f aca="false">Z27/24+AA26</f>
        <v>6.39583333333333</v>
      </c>
      <c r="AB27" s="193" t="n">
        <f aca="false">IF('Глубина-день'!K42="",'Глубина-день'!K41,'Глубина-день'!K41)</f>
        <v>2543</v>
      </c>
      <c r="AC27" s="193" t="n">
        <f aca="false">IF('Глубина-день'!L41="",'Глубина-день'!I41,'Глубина-день'!L41)</f>
        <v>1.75</v>
      </c>
      <c r="AD27" s="195" t="n">
        <f aca="false">AC27/24+AD26</f>
        <v>3.91666666666667</v>
      </c>
      <c r="AE27" s="193" t="n">
        <f aca="false">'Глубина-день'!R41</f>
        <v>3</v>
      </c>
      <c r="AF27" s="195" t="n">
        <f aca="false">AE27/24+AF26</f>
        <v>6.39583333333333</v>
      </c>
      <c r="AG27" s="193"/>
      <c r="AH27" s="197"/>
      <c r="AI27" s="193"/>
      <c r="AJ27" s="193"/>
      <c r="AK27" s="197"/>
      <c r="AL27" s="193"/>
      <c r="AM27" s="193"/>
      <c r="AN27" s="197"/>
    </row>
    <row r="28" customFormat="false" ht="13.5" hidden="false" customHeight="false" outlineLevel="0" collapsed="false">
      <c r="X28" s="193" t="n">
        <f aca="false">'Глубина-день'!A42</f>
        <v>23</v>
      </c>
      <c r="Y28" s="193" t="n">
        <f aca="false">'Глубина-день'!H42</f>
        <v>2543.15</v>
      </c>
      <c r="Z28" s="193" t="n">
        <f aca="false">'Глубина-день'!I42</f>
        <v>10</v>
      </c>
      <c r="AA28" s="195" t="n">
        <f aca="false">Z28/24+AA27</f>
        <v>6.8125</v>
      </c>
      <c r="AB28" s="193" t="n">
        <f aca="false">IF('Глубина-день'!K43="",'Глубина-день'!K42,'Глубина-день'!K42)</f>
        <v>2543</v>
      </c>
      <c r="AC28" s="193" t="n">
        <f aca="false">IF('Глубина-день'!L42="",'Глубина-день'!I42,'Глубина-день'!L42)</f>
        <v>4.25</v>
      </c>
      <c r="AD28" s="195" t="n">
        <f aca="false">AC28/24+AD27</f>
        <v>4.09375</v>
      </c>
      <c r="AE28" s="193" t="n">
        <f aca="false">'Глубина-день'!R42</f>
        <v>10</v>
      </c>
      <c r="AF28" s="195" t="n">
        <f aca="false">AE28/24+AF27</f>
        <v>6.8125</v>
      </c>
      <c r="AG28" s="193"/>
      <c r="AH28" s="197"/>
      <c r="AI28" s="193"/>
      <c r="AJ28" s="193"/>
      <c r="AK28" s="197"/>
      <c r="AL28" s="193"/>
      <c r="AM28" s="193"/>
      <c r="AN28" s="197"/>
    </row>
    <row r="29" customFormat="false" ht="13.5" hidden="false" customHeight="false" outlineLevel="0" collapsed="false">
      <c r="X29" s="193" t="n">
        <f aca="false">'Глубина-день'!A43</f>
        <v>24</v>
      </c>
      <c r="Y29" s="193" t="n">
        <f aca="false">'Глубина-день'!H43</f>
        <v>2543.15</v>
      </c>
      <c r="Z29" s="193" t="n">
        <f aca="false">'Глубина-день'!I43</f>
        <v>9</v>
      </c>
      <c r="AA29" s="195" t="n">
        <f aca="false">Z29/24+AA28</f>
        <v>7.1875</v>
      </c>
      <c r="AB29" s="193" t="n">
        <f aca="false">IF('Глубина-день'!K44="",'Глубина-день'!K43,'Глубина-день'!K43)</f>
        <v>2543</v>
      </c>
      <c r="AC29" s="193" t="n">
        <f aca="false">IF('Глубина-день'!L43="",'Глубина-день'!I43,'Глубина-день'!L43)</f>
        <v>3.75</v>
      </c>
      <c r="AD29" s="195" t="n">
        <f aca="false">AC29/24+AD28</f>
        <v>4.25</v>
      </c>
      <c r="AE29" s="193" t="n">
        <f aca="false">'Глубина-день'!R43</f>
        <v>9</v>
      </c>
      <c r="AF29" s="195" t="n">
        <f aca="false">AE29/24+AF28</f>
        <v>7.1875</v>
      </c>
      <c r="AG29" s="193"/>
      <c r="AH29" s="197"/>
      <c r="AI29" s="193"/>
      <c r="AJ29" s="193"/>
      <c r="AK29" s="197"/>
      <c r="AL29" s="193"/>
      <c r="AM29" s="193"/>
      <c r="AN29" s="197"/>
    </row>
    <row r="30" customFormat="false" ht="13.5" hidden="false" customHeight="false" outlineLevel="0" collapsed="false">
      <c r="X30" s="193" t="n">
        <f aca="false">'Глубина-день'!A44</f>
        <v>25</v>
      </c>
      <c r="Y30" s="193" t="n">
        <f aca="false">'Глубина-день'!H44</f>
        <v>2543.15</v>
      </c>
      <c r="Z30" s="193" t="n">
        <f aca="false">'Глубина-день'!I44</f>
        <v>3</v>
      </c>
      <c r="AA30" s="195" t="n">
        <f aca="false">Z30/24+AA29</f>
        <v>7.3125</v>
      </c>
      <c r="AB30" s="193" t="n">
        <f aca="false">IF('Глубина-день'!K45="",'Глубина-день'!K44,'Глубина-день'!K44)</f>
        <v>2543</v>
      </c>
      <c r="AC30" s="193" t="n">
        <f aca="false">IF('Глубина-день'!L44="",'Глубина-день'!I44,'Глубина-день'!L44)</f>
        <v>3.5</v>
      </c>
      <c r="AD30" s="195" t="n">
        <f aca="false">AC30/24+AD29</f>
        <v>4.39583333333333</v>
      </c>
      <c r="AE30" s="193" t="n">
        <f aca="false">'Глубина-день'!R44</f>
        <v>3</v>
      </c>
      <c r="AF30" s="195" t="n">
        <f aca="false">AE30/24+AF29</f>
        <v>7.3125</v>
      </c>
      <c r="AG30" s="193"/>
      <c r="AH30" s="197"/>
      <c r="AI30" s="193"/>
      <c r="AJ30" s="193"/>
      <c r="AK30" s="197"/>
      <c r="AL30" s="193"/>
      <c r="AM30" s="193"/>
      <c r="AN30" s="197"/>
    </row>
    <row r="31" customFormat="false" ht="13.5" hidden="false" customHeight="false" outlineLevel="0" collapsed="false">
      <c r="X31" s="193" t="n">
        <f aca="false">'Глубина-день'!A45</f>
        <v>26</v>
      </c>
      <c r="Y31" s="193" t="n">
        <f aca="false">'Глубина-день'!H45</f>
        <v>2543.15</v>
      </c>
      <c r="Z31" s="193" t="n">
        <f aca="false">'Глубина-день'!I45</f>
        <v>9</v>
      </c>
      <c r="AA31" s="195" t="n">
        <f aca="false">Z31/24+AA30</f>
        <v>7.6875</v>
      </c>
      <c r="AB31" s="193" t="n">
        <f aca="false">IF('Глубина-день'!K46="",'Глубина-день'!K45,'Глубина-день'!K45)</f>
        <v>2543</v>
      </c>
      <c r="AC31" s="193" t="n">
        <f aca="false">IF('Глубина-день'!L45="",'Глубина-день'!I45,'Глубина-день'!L45)</f>
        <v>10.75</v>
      </c>
      <c r="AD31" s="195" t="n">
        <f aca="false">AC31/24+AD30</f>
        <v>4.84375</v>
      </c>
      <c r="AE31" s="193" t="n">
        <f aca="false">'Глубина-день'!R45</f>
        <v>9</v>
      </c>
      <c r="AF31" s="195" t="n">
        <f aca="false">AE31/24+AF30</f>
        <v>7.6875</v>
      </c>
      <c r="AG31" s="193"/>
      <c r="AH31" s="197"/>
      <c r="AI31" s="193"/>
      <c r="AJ31" s="193"/>
      <c r="AK31" s="197"/>
      <c r="AL31" s="193"/>
      <c r="AM31" s="193"/>
      <c r="AN31" s="197"/>
    </row>
    <row r="32" customFormat="false" ht="13.5" hidden="false" customHeight="false" outlineLevel="0" collapsed="false">
      <c r="X32" s="193" t="n">
        <f aca="false">'Глубина-день'!A46</f>
        <v>27</v>
      </c>
      <c r="Y32" s="193" t="n">
        <f aca="false">'Глубина-день'!H46</f>
        <v>2543.15</v>
      </c>
      <c r="Z32" s="193" t="n">
        <f aca="false">'Глубина-день'!I46</f>
        <v>3</v>
      </c>
      <c r="AA32" s="195" t="n">
        <f aca="false">Z32/24+AA31</f>
        <v>7.8125</v>
      </c>
      <c r="AB32" s="193" t="n">
        <f aca="false">IF('Глубина-день'!K47="",'Глубина-день'!K46,'Глубина-день'!K46)</f>
        <v>2543</v>
      </c>
      <c r="AC32" s="193" t="n">
        <f aca="false">IF('Глубина-день'!L46="",'Глубина-день'!I46,'Глубина-день'!L46)</f>
        <v>1.25</v>
      </c>
      <c r="AD32" s="195" t="n">
        <f aca="false">AC32/24+AD31</f>
        <v>4.89583333333333</v>
      </c>
      <c r="AE32" s="193" t="n">
        <f aca="false">'Глубина-день'!R46</f>
        <v>3</v>
      </c>
      <c r="AF32" s="195" t="n">
        <f aca="false">AE32/24+AF31</f>
        <v>7.8125</v>
      </c>
      <c r="AG32" s="193"/>
      <c r="AH32" s="197"/>
      <c r="AI32" s="193"/>
      <c r="AJ32" s="193"/>
      <c r="AK32" s="197"/>
      <c r="AL32" s="193"/>
      <c r="AM32" s="193"/>
      <c r="AN32" s="197"/>
    </row>
    <row r="33" customFormat="false" ht="13.5" hidden="false" customHeight="false" outlineLevel="0" collapsed="false">
      <c r="X33" s="193" t="n">
        <f aca="false">'Глубина-день'!A47</f>
        <v>28</v>
      </c>
      <c r="Y33" s="193" t="n">
        <f aca="false">'Глубина-день'!H47</f>
        <v>2543.15</v>
      </c>
      <c r="Z33" s="193" t="n">
        <f aca="false">'Глубина-день'!I47</f>
        <v>1</v>
      </c>
      <c r="AA33" s="195" t="n">
        <f aca="false">Z33/24+AA32</f>
        <v>7.85416666666667</v>
      </c>
      <c r="AB33" s="193" t="n">
        <f aca="false">IF('Глубина-день'!K48="",'Глубина-день'!K47,'Глубина-день'!K47)</f>
        <v>2543</v>
      </c>
      <c r="AC33" s="193" t="n">
        <f aca="false">IF('Глубина-день'!L47="",'Глубина-день'!I47,'Глубина-день'!L47)</f>
        <v>1</v>
      </c>
      <c r="AD33" s="195" t="n">
        <f aca="false">AC33/24+AD32</f>
        <v>4.9375</v>
      </c>
      <c r="AE33" s="193" t="n">
        <f aca="false">'Глубина-день'!R47</f>
        <v>1</v>
      </c>
      <c r="AF33" s="195" t="n">
        <f aca="false">AE33/24+AF32</f>
        <v>7.85416666666667</v>
      </c>
      <c r="AG33" s="193"/>
      <c r="AH33" s="197"/>
      <c r="AI33" s="193"/>
      <c r="AJ33" s="193"/>
      <c r="AK33" s="197"/>
      <c r="AL33" s="193"/>
      <c r="AM33" s="193"/>
      <c r="AN33" s="197"/>
    </row>
    <row r="34" customFormat="false" ht="13.5" hidden="false" customHeight="false" outlineLevel="0" collapsed="false">
      <c r="X34" s="193" t="n">
        <f aca="false">'Глубина-день'!A48</f>
        <v>29</v>
      </c>
      <c r="Y34" s="193" t="n">
        <f aca="false">'Глубина-день'!H48</f>
        <v>2543.15</v>
      </c>
      <c r="Z34" s="193" t="n">
        <f aca="false">'Глубина-день'!I48</f>
        <v>18</v>
      </c>
      <c r="AA34" s="195" t="n">
        <f aca="false">Z34/24+AA33</f>
        <v>8.60416666666667</v>
      </c>
      <c r="AB34" s="193" t="n">
        <f aca="false">IF('Глубина-день'!K49="",'Глубина-день'!K48,'Глубина-день'!K48)</f>
        <v>2543</v>
      </c>
      <c r="AC34" s="193" t="n">
        <f aca="false">IF('Глубина-день'!L48="",'Глубина-день'!I48,'Глубина-день'!L48)</f>
        <v>13</v>
      </c>
      <c r="AD34" s="195" t="n">
        <f aca="false">AC34/24+AD33</f>
        <v>5.47916666666667</v>
      </c>
      <c r="AE34" s="193" t="n">
        <f aca="false">'Глубина-день'!R48</f>
        <v>18</v>
      </c>
      <c r="AF34" s="195" t="n">
        <f aca="false">AE34/24+AF33</f>
        <v>8.60416666666667</v>
      </c>
      <c r="AG34" s="193"/>
      <c r="AH34" s="197"/>
      <c r="AI34" s="193"/>
      <c r="AJ34" s="193"/>
      <c r="AK34" s="197"/>
      <c r="AL34" s="193"/>
      <c r="AM34" s="193"/>
      <c r="AN34" s="197"/>
    </row>
    <row r="35" customFormat="false" ht="13.5" hidden="false" customHeight="false" outlineLevel="0" collapsed="false">
      <c r="X35" s="193" t="n">
        <f aca="false">'Глубина-день'!A49</f>
        <v>30</v>
      </c>
      <c r="Y35" s="193" t="n">
        <f aca="false">'Глубина-день'!H49</f>
        <v>2543.15</v>
      </c>
      <c r="Z35" s="193" t="n">
        <f aca="false">'Глубина-день'!I49</f>
        <v>2</v>
      </c>
      <c r="AA35" s="195" t="n">
        <f aca="false">Z35/24+AA34</f>
        <v>8.6875</v>
      </c>
      <c r="AB35" s="193" t="n">
        <f aca="false">IF('Глубина-день'!K50="",'Глубина-день'!K49,'Глубина-день'!K49)</f>
        <v>2543</v>
      </c>
      <c r="AC35" s="193" t="n">
        <f aca="false">IF('Глубина-день'!L49="",'Глубина-день'!I49,'Глубина-день'!L49)</f>
        <v>2</v>
      </c>
      <c r="AD35" s="195" t="n">
        <f aca="false">AC35/24+AD34</f>
        <v>5.5625</v>
      </c>
      <c r="AE35" s="193" t="n">
        <f aca="false">'Глубина-день'!R49</f>
        <v>2</v>
      </c>
      <c r="AF35" s="195" t="n">
        <f aca="false">AE35/24+AF34</f>
        <v>8.6875</v>
      </c>
      <c r="AG35" s="193"/>
      <c r="AH35" s="197"/>
      <c r="AI35" s="193"/>
      <c r="AJ35" s="193"/>
      <c r="AK35" s="197"/>
      <c r="AL35" s="193"/>
      <c r="AM35" s="193"/>
      <c r="AN35" s="197"/>
    </row>
    <row r="36" customFormat="false" ht="13.5" hidden="false" customHeight="false" outlineLevel="0" collapsed="false">
      <c r="X36" s="193" t="n">
        <f aca="false">'Глубина-день'!A50</f>
        <v>31</v>
      </c>
      <c r="Y36" s="193" t="n">
        <f aca="false">'Глубина-день'!H50</f>
        <v>2543.15</v>
      </c>
      <c r="Z36" s="193" t="n">
        <f aca="false">'Глубина-день'!I50</f>
        <v>4</v>
      </c>
      <c r="AA36" s="195" t="n">
        <f aca="false">Z36/24+AA35</f>
        <v>8.85416666666667</v>
      </c>
      <c r="AB36" s="193" t="n">
        <f aca="false">IF('Глубина-день'!K51="",'Глубина-день'!K50,'Глубина-день'!K50)</f>
        <v>2543</v>
      </c>
      <c r="AC36" s="193" t="n">
        <f aca="false">IF('Глубина-день'!L50="",'Глубина-день'!I50,'Глубина-день'!L50)</f>
        <v>4</v>
      </c>
      <c r="AD36" s="195" t="n">
        <f aca="false">AC36/24+AD35</f>
        <v>5.72916666666667</v>
      </c>
      <c r="AE36" s="193" t="n">
        <f aca="false">'Глубина-день'!R50</f>
        <v>4</v>
      </c>
      <c r="AF36" s="195" t="n">
        <f aca="false">AE36/24+AF35</f>
        <v>8.85416666666667</v>
      </c>
      <c r="AG36" s="193"/>
      <c r="AH36" s="197"/>
      <c r="AI36" s="193"/>
      <c r="AJ36" s="193"/>
      <c r="AK36" s="197"/>
      <c r="AL36" s="193"/>
      <c r="AM36" s="193"/>
      <c r="AN36" s="197"/>
    </row>
    <row r="37" customFormat="false" ht="13.5" hidden="false" customHeight="false" outlineLevel="0" collapsed="false">
      <c r="X37" s="193" t="n">
        <f aca="false">'Глубина-день'!A51</f>
        <v>32</v>
      </c>
      <c r="Y37" s="193" t="n">
        <f aca="false">'Глубина-день'!H51</f>
        <v>2543.15</v>
      </c>
      <c r="Z37" s="193" t="n">
        <f aca="false">'Глубина-день'!I51</f>
        <v>4</v>
      </c>
      <c r="AA37" s="195" t="n">
        <f aca="false">Z37/24+AA36</f>
        <v>9.02083333333333</v>
      </c>
      <c r="AB37" s="193" t="n">
        <f aca="false">IF('Глубина-день'!K52="",'Глубина-день'!K51,'Глубина-день'!K51)</f>
        <v>2543</v>
      </c>
      <c r="AC37" s="193" t="n">
        <f aca="false">IF('Глубина-день'!L51="",'Глубина-день'!I51,'Глубина-день'!L51)</f>
        <v>2</v>
      </c>
      <c r="AD37" s="195" t="n">
        <f aca="false">AC37/24+AD36</f>
        <v>5.8125</v>
      </c>
      <c r="AE37" s="193" t="n">
        <f aca="false">'Глубина-день'!R51</f>
        <v>4</v>
      </c>
      <c r="AF37" s="195" t="n">
        <f aca="false">AE37/24+AF36</f>
        <v>9.02083333333333</v>
      </c>
      <c r="AG37" s="193"/>
      <c r="AH37" s="197"/>
      <c r="AI37" s="193"/>
      <c r="AJ37" s="193"/>
      <c r="AK37" s="197"/>
      <c r="AL37" s="193"/>
      <c r="AM37" s="193"/>
      <c r="AN37" s="197"/>
    </row>
    <row r="38" customFormat="false" ht="13.5" hidden="false" customHeight="false" outlineLevel="0" collapsed="false">
      <c r="X38" s="193" t="n">
        <f aca="false">'Глубина-день'!A52</f>
        <v>33</v>
      </c>
      <c r="Y38" s="193" t="n">
        <f aca="false">'Глубина-день'!H52</f>
        <v>2543.15</v>
      </c>
      <c r="Z38" s="193" t="n">
        <f aca="false">'Глубина-день'!I52</f>
        <v>6</v>
      </c>
      <c r="AA38" s="195" t="n">
        <f aca="false">Z38/24+AA37</f>
        <v>9.27083333333333</v>
      </c>
      <c r="AB38" s="193" t="n">
        <f aca="false">IF('Глубина-день'!K53="",'Глубина-день'!K52,'Глубина-день'!K52)</f>
        <v>2543</v>
      </c>
      <c r="AC38" s="193" t="n">
        <f aca="false">IF('Глубина-день'!L52="",'Глубина-день'!I52,'Глубина-день'!L52)</f>
        <v>2</v>
      </c>
      <c r="AD38" s="195" t="n">
        <f aca="false">AC38/24+AD37</f>
        <v>5.89583333333333</v>
      </c>
      <c r="AE38" s="193" t="n">
        <f aca="false">'Глубина-день'!R52</f>
        <v>6</v>
      </c>
      <c r="AF38" s="195" t="n">
        <f aca="false">AE38/24+AF37</f>
        <v>9.27083333333333</v>
      </c>
      <c r="AG38" s="193"/>
      <c r="AH38" s="197"/>
      <c r="AI38" s="193"/>
      <c r="AJ38" s="193"/>
      <c r="AK38" s="197"/>
      <c r="AL38" s="193"/>
      <c r="AM38" s="193"/>
      <c r="AN38" s="197"/>
    </row>
    <row r="39" customFormat="false" ht="15" hidden="false" customHeight="false" outlineLevel="0" collapsed="false">
      <c r="B39" s="198" t="str">
        <f aca="false">'Глубина-день'!K7</f>
        <v>План</v>
      </c>
      <c r="C39" s="198"/>
      <c r="D39" s="199" t="n">
        <f aca="false">'Глубина-день'!N7</f>
        <v>28.153125</v>
      </c>
      <c r="E39" s="193"/>
      <c r="F39" s="200" t="str">
        <f aca="false">'Глубина-день'!K10</f>
        <v>Скорость бурения,
сут/1000м</v>
      </c>
      <c r="G39" s="201" t="str">
        <f aca="false">'Глубина-день'!L10</f>
        <v>План</v>
      </c>
      <c r="H39" s="201"/>
      <c r="I39" s="202" t="n">
        <f aca="false">'Глубина-день'!N10</f>
        <v>6.04144313304721</v>
      </c>
      <c r="X39" s="193" t="n">
        <f aca="false">'Глубина-день'!A53</f>
        <v>34</v>
      </c>
      <c r="Y39" s="193" t="n">
        <f aca="false">'Глубина-день'!H53</f>
        <v>2543.15</v>
      </c>
      <c r="Z39" s="193" t="n">
        <f aca="false">'Глубина-день'!I53</f>
        <v>2.5</v>
      </c>
      <c r="AA39" s="195" t="n">
        <f aca="false">Z39/24+AA38</f>
        <v>9.375</v>
      </c>
      <c r="AB39" s="193" t="n">
        <f aca="false">IF('Глубина-день'!K54="",'Глубина-день'!K53,'Глубина-день'!K53)</f>
        <v>2543</v>
      </c>
      <c r="AC39" s="193" t="n">
        <f aca="false">IF('Глубина-день'!L53="",'Глубина-день'!I53,'Глубина-день'!L53)</f>
        <v>2</v>
      </c>
      <c r="AD39" s="195" t="n">
        <f aca="false">AC39/24+AD38</f>
        <v>5.97916666666667</v>
      </c>
      <c r="AE39" s="193" t="n">
        <f aca="false">'Глубина-день'!R53</f>
        <v>2.5</v>
      </c>
      <c r="AF39" s="195" t="n">
        <f aca="false">AE39/24+AF38</f>
        <v>9.375</v>
      </c>
      <c r="AG39" s="193"/>
      <c r="AH39" s="197"/>
      <c r="AI39" s="193"/>
      <c r="AJ39" s="193"/>
      <c r="AK39" s="197"/>
      <c r="AL39" s="193"/>
      <c r="AM39" s="193"/>
      <c r="AN39" s="197"/>
    </row>
    <row r="40" customFormat="false" ht="15" hidden="false" customHeight="false" outlineLevel="0" collapsed="false">
      <c r="B40" s="203" t="str">
        <f aca="false">'Глубина-день'!K8</f>
        <v>Факт/прогноз, сут</v>
      </c>
      <c r="C40" s="203"/>
      <c r="D40" s="204" t="n">
        <f aca="false">'Глубина-день'!N8</f>
        <v>17.5625000000073</v>
      </c>
      <c r="E40" s="193"/>
      <c r="F40" s="200"/>
      <c r="G40" s="205" t="str">
        <f aca="false">'Глубина-день'!L11</f>
        <v>Факт+Прогноз</v>
      </c>
      <c r="H40" s="206"/>
      <c r="I40" s="207" t="n">
        <f aca="false">'Глубина-день'!N11</f>
        <v>3.7687768240359</v>
      </c>
      <c r="X40" s="193" t="n">
        <f aca="false">'Глубина-день'!A54</f>
        <v>35</v>
      </c>
      <c r="Y40" s="193" t="n">
        <f aca="false">'Глубина-день'!H54</f>
        <v>2543.15</v>
      </c>
      <c r="Z40" s="193" t="n">
        <f aca="false">'Глубина-день'!I54</f>
        <v>14</v>
      </c>
      <c r="AA40" s="195" t="n">
        <f aca="false">Z40/24+AA39</f>
        <v>9.95833333333333</v>
      </c>
      <c r="AB40" s="193" t="n">
        <f aca="false">IF('Глубина-день'!K55="",'Глубина-день'!K54,'Глубина-день'!K54)</f>
        <v>2543</v>
      </c>
      <c r="AC40" s="193" t="n">
        <f aca="false">IF('Глубина-день'!L54="",'Глубина-день'!I54,'Глубина-день'!L54)</f>
        <v>2</v>
      </c>
      <c r="AD40" s="195" t="n">
        <f aca="false">AC40/24+AD39</f>
        <v>6.0625</v>
      </c>
      <c r="AE40" s="193" t="n">
        <f aca="false">'Глубина-день'!R54</f>
        <v>14</v>
      </c>
      <c r="AF40" s="195" t="n">
        <f aca="false">AE40/24+AF39</f>
        <v>9.95833333333333</v>
      </c>
      <c r="AG40" s="193"/>
      <c r="AH40" s="197"/>
      <c r="AI40" s="193"/>
      <c r="AJ40" s="193"/>
      <c r="AK40" s="197"/>
      <c r="AL40" s="193"/>
      <c r="AM40" s="193"/>
      <c r="AN40" s="197"/>
    </row>
    <row r="41" customFormat="false" ht="15" hidden="false" customHeight="false" outlineLevel="0" collapsed="false">
      <c r="B41" s="198" t="str">
        <f aca="false">'Глубина-день'!K9</f>
        <v>План для бонуса</v>
      </c>
      <c r="C41" s="198"/>
      <c r="D41" s="199" t="n">
        <f aca="false">'Глубина-день'!N9</f>
        <v>28.1531249999971</v>
      </c>
      <c r="E41" s="193"/>
      <c r="F41" s="200"/>
      <c r="G41" s="208" t="str">
        <f aca="false">'Глубина-день'!L12</f>
        <v>План для бонуса</v>
      </c>
      <c r="H41" s="209"/>
      <c r="I41" s="202" t="n">
        <f aca="false">'Глубина-день'!N12</f>
        <v>6.04144313304659</v>
      </c>
      <c r="X41" s="193" t="n">
        <f aca="false">'Глубина-день'!A55</f>
        <v>36</v>
      </c>
      <c r="Y41" s="193" t="n">
        <f aca="false">'Глубина-день'!H55</f>
        <v>2543.15</v>
      </c>
      <c r="Z41" s="193" t="n">
        <f aca="false">'Глубина-день'!I55</f>
        <v>54</v>
      </c>
      <c r="AA41" s="195" t="n">
        <f aca="false">Z41/24+AA40</f>
        <v>12.2083333333333</v>
      </c>
      <c r="AB41" s="193" t="n">
        <f aca="false">IF('Глубина-день'!K56="",'Глубина-день'!K55,'Глубина-день'!K55)</f>
        <v>2543</v>
      </c>
      <c r="AC41" s="193" t="n">
        <f aca="false">IF('Глубина-день'!L55="",'Глубина-день'!I55,'Глубина-день'!L55)</f>
        <v>36.75</v>
      </c>
      <c r="AD41" s="195" t="n">
        <f aca="false">AC41/24+AD40</f>
        <v>7.59375</v>
      </c>
      <c r="AE41" s="193" t="n">
        <f aca="false">'Глубина-день'!R55</f>
        <v>54</v>
      </c>
      <c r="AF41" s="195" t="n">
        <f aca="false">AE41/24+AF40</f>
        <v>12.2083333333333</v>
      </c>
      <c r="AG41" s="193"/>
      <c r="AH41" s="197"/>
      <c r="AI41" s="193"/>
      <c r="AJ41" s="193"/>
      <c r="AK41" s="197"/>
      <c r="AL41" s="193"/>
      <c r="AM41" s="193"/>
      <c r="AN41" s="197"/>
    </row>
    <row r="42" customFormat="false" ht="13.5" hidden="false" customHeight="false" outlineLevel="0" collapsed="false">
      <c r="X42" s="193" t="n">
        <f aca="false">'Глубина-день'!A56</f>
        <v>37</v>
      </c>
      <c r="Y42" s="193" t="n">
        <f aca="false">'Глубина-день'!H56</f>
        <v>2543.15</v>
      </c>
      <c r="Z42" s="193" t="n">
        <f aca="false">'Глубина-день'!I56</f>
        <v>5</v>
      </c>
      <c r="AA42" s="195" t="n">
        <f aca="false">Z42/24+AA41</f>
        <v>12.4166666666667</v>
      </c>
      <c r="AB42" s="193" t="n">
        <f aca="false">IF('Глубина-день'!K57="",'Глубина-день'!K56,'Глубина-день'!K56)</f>
        <v>2543</v>
      </c>
      <c r="AC42" s="193" t="n">
        <f aca="false">IF('Глубина-день'!L56="",'Глубина-день'!I56,'Глубина-день'!L56)</f>
        <v>4</v>
      </c>
      <c r="AD42" s="195" t="n">
        <f aca="false">AC42/24+AD41</f>
        <v>7.76041666666667</v>
      </c>
      <c r="AE42" s="193" t="n">
        <f aca="false">'Глубина-день'!R56</f>
        <v>5</v>
      </c>
      <c r="AF42" s="195" t="n">
        <f aca="false">AE42/24+AF41</f>
        <v>12.4166666666667</v>
      </c>
      <c r="AG42" s="193"/>
      <c r="AH42" s="197"/>
      <c r="AI42" s="193"/>
      <c r="AJ42" s="193"/>
      <c r="AK42" s="197"/>
      <c r="AL42" s="193"/>
      <c r="AM42" s="193"/>
      <c r="AN42" s="197"/>
    </row>
    <row r="43" customFormat="false" ht="13.5" hidden="false" customHeight="false" outlineLevel="0" collapsed="false">
      <c r="X43" s="193" t="n">
        <f aca="false">'Глубина-день'!A57</f>
        <v>38</v>
      </c>
      <c r="Y43" s="193" t="n">
        <f aca="false">'Глубина-день'!H57</f>
        <v>2543.15</v>
      </c>
      <c r="Z43" s="193" t="n">
        <f aca="false">'Глубина-день'!I57</f>
        <v>16</v>
      </c>
      <c r="AA43" s="195" t="n">
        <f aca="false">Z43/24+AA42</f>
        <v>13.0833333333333</v>
      </c>
      <c r="AB43" s="193" t="n">
        <f aca="false">IF('Глубина-день'!K58="",'Глубина-день'!K57,'Глубина-день'!K57)</f>
        <v>2543</v>
      </c>
      <c r="AC43" s="193" t="n">
        <f aca="false">IF('Глубина-день'!L57="",'Глубина-день'!I57,'Глубина-день'!L57)</f>
        <v>5</v>
      </c>
      <c r="AD43" s="195" t="n">
        <f aca="false">AC43/24+AD42</f>
        <v>7.96875</v>
      </c>
      <c r="AE43" s="193" t="n">
        <f aca="false">'Глубина-день'!R57</f>
        <v>16</v>
      </c>
      <c r="AF43" s="195" t="n">
        <f aca="false">AE43/24+AF42</f>
        <v>13.0833333333333</v>
      </c>
      <c r="AG43" s="193"/>
      <c r="AH43" s="197"/>
      <c r="AI43" s="193"/>
      <c r="AJ43" s="193"/>
      <c r="AK43" s="197"/>
      <c r="AL43" s="193"/>
      <c r="AM43" s="193"/>
      <c r="AN43" s="197"/>
    </row>
    <row r="44" customFormat="false" ht="13.5" hidden="false" customHeight="false" outlineLevel="0" collapsed="false">
      <c r="X44" s="193" t="n">
        <f aca="false">'Глубина-день'!A58</f>
        <v>39</v>
      </c>
      <c r="Y44" s="193" t="n">
        <f aca="false">'Глубина-день'!H58</f>
        <v>2543.15</v>
      </c>
      <c r="Z44" s="193" t="n">
        <f aca="false">'Глубина-день'!I58</f>
        <v>2</v>
      </c>
      <c r="AA44" s="195" t="n">
        <f aca="false">Z44/24+AA43</f>
        <v>13.1666666666667</v>
      </c>
      <c r="AB44" s="193" t="n">
        <f aca="false">IF('Глубина-день'!K59="",'Глубина-день'!K58,'Глубина-день'!K58)</f>
        <v>2543</v>
      </c>
      <c r="AC44" s="193" t="n">
        <f aca="false">IF('Глубина-день'!L58="",'Глубина-день'!I58,'Глубина-день'!L58)</f>
        <v>0</v>
      </c>
      <c r="AD44" s="195" t="n">
        <f aca="false">AC44/24+AD43</f>
        <v>7.96875</v>
      </c>
      <c r="AE44" s="193" t="n">
        <f aca="false">'Глубина-день'!R58</f>
        <v>2</v>
      </c>
      <c r="AF44" s="195" t="n">
        <f aca="false">AE44/24+AF43</f>
        <v>13.1666666666667</v>
      </c>
      <c r="AG44" s="193"/>
      <c r="AH44" s="197"/>
      <c r="AI44" s="193"/>
      <c r="AJ44" s="193"/>
      <c r="AK44" s="197"/>
      <c r="AL44" s="193"/>
      <c r="AM44" s="193"/>
      <c r="AN44" s="197"/>
    </row>
    <row r="45" customFormat="false" ht="13.5" hidden="false" customHeight="false" outlineLevel="0" collapsed="false">
      <c r="X45" s="193" t="n">
        <f aca="false">'Глубина-день'!A59</f>
        <v>40</v>
      </c>
      <c r="Y45" s="193" t="n">
        <f aca="false">'Глубина-день'!H59</f>
        <v>2543.15</v>
      </c>
      <c r="Z45" s="193" t="n">
        <f aca="false">'Глубина-день'!I59</f>
        <v>3</v>
      </c>
      <c r="AA45" s="195" t="n">
        <f aca="false">Z45/24+AA44</f>
        <v>13.2916666666667</v>
      </c>
      <c r="AB45" s="193" t="n">
        <f aca="false">IF('Глубина-день'!K60="",'Глубина-день'!K59,'Глубина-день'!K59)</f>
        <v>2543</v>
      </c>
      <c r="AC45" s="193" t="n">
        <f aca="false">IF('Глубина-день'!L59="",'Глубина-день'!I59,'Глубина-день'!L59)</f>
        <v>3</v>
      </c>
      <c r="AD45" s="195" t="n">
        <f aca="false">AC45/24+AD44</f>
        <v>8.09375</v>
      </c>
      <c r="AE45" s="193" t="n">
        <f aca="false">'Глубина-день'!R59</f>
        <v>3</v>
      </c>
      <c r="AF45" s="195" t="n">
        <f aca="false">AE45/24+AF44</f>
        <v>13.2916666666667</v>
      </c>
      <c r="AG45" s="193"/>
      <c r="AH45" s="197"/>
      <c r="AI45" s="193"/>
      <c r="AJ45" s="193"/>
      <c r="AK45" s="197"/>
      <c r="AL45" s="193"/>
      <c r="AM45" s="193"/>
      <c r="AN45" s="197"/>
    </row>
    <row r="46" customFormat="false" ht="13.5" hidden="false" customHeight="false" outlineLevel="0" collapsed="false">
      <c r="X46" s="193" t="n">
        <f aca="false">'Глубина-день'!A60</f>
        <v>41</v>
      </c>
      <c r="Y46" s="193" t="n">
        <f aca="false">'Глубина-день'!H60</f>
        <v>2543.15</v>
      </c>
      <c r="Z46" s="193" t="n">
        <f aca="false">'Глубина-день'!I60</f>
        <v>2</v>
      </c>
      <c r="AA46" s="195" t="n">
        <f aca="false">Z46/24+AA45</f>
        <v>13.375</v>
      </c>
      <c r="AB46" s="193" t="n">
        <f aca="false">IF('Глубина-день'!K61="",'Глубина-день'!K60,'Глубина-день'!K60)</f>
        <v>2543</v>
      </c>
      <c r="AC46" s="193" t="n">
        <f aca="false">IF('Глубина-день'!L60="",'Глубина-день'!I60,'Глубина-день'!L60)</f>
        <v>2</v>
      </c>
      <c r="AD46" s="195" t="n">
        <f aca="false">AC46/24+AD45</f>
        <v>8.17708333333333</v>
      </c>
      <c r="AE46" s="193" t="n">
        <f aca="false">'Глубина-день'!R60</f>
        <v>2</v>
      </c>
      <c r="AF46" s="195" t="n">
        <f aca="false">AE46/24+AF45</f>
        <v>13.375</v>
      </c>
      <c r="AG46" s="193"/>
      <c r="AH46" s="197"/>
      <c r="AI46" s="193"/>
      <c r="AJ46" s="193"/>
      <c r="AK46" s="197"/>
      <c r="AL46" s="193"/>
      <c r="AM46" s="193"/>
      <c r="AN46" s="197"/>
    </row>
    <row r="47" customFormat="false" ht="13.5" hidden="false" customHeight="false" outlineLevel="0" collapsed="false">
      <c r="X47" s="193" t="n">
        <f aca="false">'Глубина-день'!A61</f>
        <v>42</v>
      </c>
      <c r="Y47" s="193" t="n">
        <f aca="false">'Глубина-день'!H61</f>
        <v>2543.15</v>
      </c>
      <c r="Z47" s="193" t="n">
        <f aca="false">'Глубина-день'!I61</f>
        <v>1</v>
      </c>
      <c r="AA47" s="195" t="n">
        <f aca="false">Z47/24+AA46</f>
        <v>13.4166666666667</v>
      </c>
      <c r="AB47" s="193" t="n">
        <f aca="false">IF('Глубина-день'!K62="",'Глубина-день'!K61,'Глубина-день'!K61)</f>
        <v>2543</v>
      </c>
      <c r="AC47" s="193" t="n">
        <f aca="false">IF('Глубина-день'!L61="",'Глубина-день'!I61,'Глубина-день'!L61)</f>
        <v>1</v>
      </c>
      <c r="AD47" s="195" t="n">
        <f aca="false">AC47/24+AD46</f>
        <v>8.21875</v>
      </c>
      <c r="AE47" s="193" t="n">
        <f aca="false">'Глубина-день'!R61</f>
        <v>1</v>
      </c>
      <c r="AF47" s="195" t="n">
        <f aca="false">AE47/24+AF46</f>
        <v>13.4166666666667</v>
      </c>
      <c r="AG47" s="193"/>
      <c r="AH47" s="197"/>
      <c r="AI47" s="193"/>
      <c r="AJ47" s="193"/>
      <c r="AK47" s="197"/>
      <c r="AL47" s="193"/>
      <c r="AM47" s="193"/>
      <c r="AN47" s="197"/>
    </row>
    <row r="48" customFormat="false" ht="13.5" hidden="false" customHeight="false" outlineLevel="0" collapsed="false">
      <c r="X48" s="193" t="n">
        <f aca="false">'Глубина-день'!A62</f>
        <v>43</v>
      </c>
      <c r="Y48" s="193" t="n">
        <f aca="false">'Глубина-день'!H62</f>
        <v>3110</v>
      </c>
      <c r="Z48" s="193" t="n">
        <f aca="false">'Глубина-день'!I62</f>
        <v>46</v>
      </c>
      <c r="AA48" s="195" t="n">
        <f aca="false">Z48/24+AA47</f>
        <v>15.3333333333333</v>
      </c>
      <c r="AB48" s="193" t="n">
        <f aca="false">IF('Глубина-день'!K63="",'Глубина-день'!K62,'Глубина-день'!K62)</f>
        <v>3107</v>
      </c>
      <c r="AC48" s="193" t="n">
        <f aca="false">IF('Глубина-день'!L62="",'Глубина-день'!I62,'Глубина-день'!L62)</f>
        <v>34.5</v>
      </c>
      <c r="AD48" s="195" t="n">
        <f aca="false">AC48/24+AD47</f>
        <v>9.65625</v>
      </c>
      <c r="AE48" s="193" t="n">
        <f aca="false">'Глубина-день'!R62</f>
        <v>46</v>
      </c>
      <c r="AF48" s="195" t="n">
        <f aca="false">AE48/24+AF47</f>
        <v>15.3333333333333</v>
      </c>
      <c r="AG48" s="193"/>
      <c r="AH48" s="197"/>
      <c r="AI48" s="193"/>
      <c r="AJ48" s="193"/>
      <c r="AK48" s="197"/>
      <c r="AL48" s="193"/>
      <c r="AM48" s="193"/>
      <c r="AN48" s="197"/>
    </row>
    <row r="49" customFormat="false" ht="13.5" hidden="false" customHeight="false" outlineLevel="0" collapsed="false">
      <c r="X49" s="193" t="n">
        <f aca="false">'Глубина-день'!A63</f>
        <v>44</v>
      </c>
      <c r="Y49" s="193" t="n">
        <f aca="false">'Глубина-день'!H63</f>
        <v>3110</v>
      </c>
      <c r="Z49" s="193" t="n">
        <f aca="false">'Глубина-день'!I63</f>
        <v>2</v>
      </c>
      <c r="AA49" s="195" t="n">
        <f aca="false">Z49/24+AA48</f>
        <v>15.4166666666667</v>
      </c>
      <c r="AB49" s="193" t="n">
        <f aca="false">IF('Глубина-день'!K64="",'Глубина-день'!K63,'Глубина-день'!K63)</f>
        <v>3107</v>
      </c>
      <c r="AC49" s="193" t="n">
        <f aca="false">IF('Глубина-день'!L63="",'Глубина-день'!I63,'Глубина-день'!L63)</f>
        <v>0.75</v>
      </c>
      <c r="AD49" s="195" t="n">
        <f aca="false">AC49/24+AD48</f>
        <v>9.6875</v>
      </c>
      <c r="AE49" s="193" t="n">
        <f aca="false">'Глубина-день'!R63</f>
        <v>2</v>
      </c>
      <c r="AF49" s="195" t="n">
        <f aca="false">AE49/24+AF48</f>
        <v>15.4166666666667</v>
      </c>
      <c r="AG49" s="193"/>
      <c r="AH49" s="197"/>
      <c r="AI49" s="193"/>
      <c r="AJ49" s="193"/>
      <c r="AK49" s="197"/>
      <c r="AL49" s="193"/>
      <c r="AM49" s="193"/>
      <c r="AN49" s="197"/>
    </row>
    <row r="50" customFormat="false" ht="13.5" hidden="false" customHeight="false" outlineLevel="0" collapsed="false">
      <c r="X50" s="193" t="n">
        <f aca="false">'Глубина-день'!A64</f>
        <v>45</v>
      </c>
      <c r="Y50" s="193" t="n">
        <f aca="false">'Глубина-день'!H64</f>
        <v>3110</v>
      </c>
      <c r="Z50" s="193" t="n">
        <f aca="false">'Глубина-день'!I64</f>
        <v>1</v>
      </c>
      <c r="AA50" s="195" t="n">
        <f aca="false">Z50/24+AA49</f>
        <v>15.4583333333333</v>
      </c>
      <c r="AB50" s="193" t="n">
        <f aca="false">IF('Глубина-день'!K65="",'Глубина-день'!K64,'Глубина-день'!K64)</f>
        <v>3107</v>
      </c>
      <c r="AC50" s="193" t="n">
        <f aca="false">IF('Глубина-день'!L64="",'Глубина-день'!I64,'Глубина-день'!L64)</f>
        <v>0.5</v>
      </c>
      <c r="AD50" s="195" t="n">
        <f aca="false">AC50/24+AD49</f>
        <v>9.70833333333333</v>
      </c>
      <c r="AE50" s="193" t="n">
        <f aca="false">'Глубина-день'!R64</f>
        <v>1</v>
      </c>
      <c r="AF50" s="195" t="n">
        <f aca="false">AE50/24+AF49</f>
        <v>15.4583333333333</v>
      </c>
      <c r="AG50" s="193"/>
      <c r="AH50" s="197"/>
      <c r="AI50" s="193"/>
      <c r="AJ50" s="193"/>
      <c r="AK50" s="197"/>
      <c r="AL50" s="193"/>
      <c r="AM50" s="193"/>
      <c r="AN50" s="197"/>
    </row>
    <row r="51" customFormat="false" ht="13.5" hidden="false" customHeight="false" outlineLevel="0" collapsed="false">
      <c r="X51" s="193" t="n">
        <f aca="false">'Глубина-день'!A65</f>
        <v>46</v>
      </c>
      <c r="Y51" s="193" t="n">
        <f aca="false">'Глубина-день'!H65</f>
        <v>4660</v>
      </c>
      <c r="Z51" s="193" t="n">
        <f aca="false">'Глубина-день'!I65</f>
        <v>130</v>
      </c>
      <c r="AA51" s="195" t="n">
        <f aca="false">Z51/24+AA50</f>
        <v>20.875</v>
      </c>
      <c r="AB51" s="193" t="n">
        <f aca="false">IF('Глубина-день'!K66="",'Глубина-день'!K65,'Глубина-день'!K65)</f>
        <v>3501</v>
      </c>
      <c r="AC51" s="193" t="n">
        <f aca="false">IF('Глубина-день'!L65="",'Глубина-день'!I65,'Глубина-день'!L65)</f>
        <v>46</v>
      </c>
      <c r="AD51" s="195" t="n">
        <f aca="false">AC51/24+AD50</f>
        <v>11.625</v>
      </c>
      <c r="AE51" s="193" t="n">
        <f aca="false">'Глубина-день'!R65</f>
        <v>130</v>
      </c>
      <c r="AF51" s="195" t="n">
        <f aca="false">AE51/24+AF50</f>
        <v>20.875</v>
      </c>
      <c r="AG51" s="193"/>
      <c r="AH51" s="197"/>
      <c r="AI51" s="193"/>
      <c r="AJ51" s="193"/>
      <c r="AK51" s="197"/>
      <c r="AL51" s="193"/>
      <c r="AM51" s="193"/>
      <c r="AN51" s="197"/>
    </row>
    <row r="52" customFormat="false" ht="13.5" hidden="false" customHeight="false" outlineLevel="0" collapsed="false">
      <c r="X52" s="193" t="n">
        <f aca="false">'Глубина-день'!A66</f>
        <v>47</v>
      </c>
      <c r="Y52" s="193" t="n">
        <f aca="false">'Глубина-день'!H66</f>
        <v>4660</v>
      </c>
      <c r="Z52" s="193" t="n">
        <f aca="false">'Глубина-день'!I66</f>
        <v>3</v>
      </c>
      <c r="AA52" s="195" t="n">
        <f aca="false">Z52/24+AA51</f>
        <v>21</v>
      </c>
      <c r="AB52" s="193" t="n">
        <f aca="false">IF('Глубина-день'!K67="",'Глубина-день'!K66,'Глубина-день'!K66)</f>
        <v>0</v>
      </c>
      <c r="AC52" s="193" t="n">
        <f aca="false">IF('Глубина-день'!L66="",'Глубина-день'!I66,'Глубина-день'!L66)</f>
        <v>3</v>
      </c>
      <c r="AD52" s="195" t="n">
        <f aca="false">AC52/24+AD51</f>
        <v>11.75</v>
      </c>
      <c r="AE52" s="193" t="n">
        <f aca="false">'Глубина-день'!R66</f>
        <v>3</v>
      </c>
      <c r="AF52" s="195" t="n">
        <f aca="false">AE52/24+AF51</f>
        <v>21</v>
      </c>
      <c r="AG52" s="193"/>
      <c r="AH52" s="197"/>
      <c r="AI52" s="193"/>
      <c r="AJ52" s="193"/>
      <c r="AK52" s="197"/>
      <c r="AL52" s="193"/>
      <c r="AM52" s="193"/>
      <c r="AN52" s="197"/>
    </row>
    <row r="53" customFormat="false" ht="13.5" hidden="false" customHeight="false" outlineLevel="0" collapsed="false">
      <c r="X53" s="193" t="n">
        <f aca="false">'Глубина-день'!A67</f>
        <v>48</v>
      </c>
      <c r="Y53" s="193" t="n">
        <f aca="false">'Глубина-день'!H67</f>
        <v>4660</v>
      </c>
      <c r="Z53" s="193" t="n">
        <f aca="false">'Глубина-день'!I67</f>
        <v>7</v>
      </c>
      <c r="AA53" s="195" t="n">
        <f aca="false">Z53/24+AA52</f>
        <v>21.2916666666667</v>
      </c>
      <c r="AB53" s="193" t="n">
        <f aca="false">IF('Глубина-день'!K68="",'Глубина-день'!K67,'Глубина-день'!K67)</f>
        <v>0</v>
      </c>
      <c r="AC53" s="193" t="n">
        <f aca="false">IF('Глубина-день'!L67="",'Глубина-день'!I67,'Глубина-день'!L67)</f>
        <v>7</v>
      </c>
      <c r="AD53" s="195" t="n">
        <f aca="false">AC53/24+AD52</f>
        <v>12.0416666666667</v>
      </c>
      <c r="AE53" s="193" t="n">
        <f aca="false">'Глубина-день'!R67</f>
        <v>7</v>
      </c>
      <c r="AF53" s="195" t="n">
        <f aca="false">AE53/24+AF52</f>
        <v>21.2916666666667</v>
      </c>
      <c r="AG53" s="193"/>
      <c r="AH53" s="197"/>
      <c r="AI53" s="193"/>
      <c r="AJ53" s="193"/>
      <c r="AK53" s="197"/>
      <c r="AL53" s="193"/>
      <c r="AM53" s="193"/>
      <c r="AN53" s="197"/>
    </row>
    <row r="54" customFormat="false" ht="13.5" hidden="false" customHeight="false" outlineLevel="0" collapsed="false">
      <c r="X54" s="193" t="n">
        <f aca="false">'Глубина-день'!A68</f>
        <v>49</v>
      </c>
      <c r="Y54" s="193" t="n">
        <f aca="false">'Глубина-день'!H68</f>
        <v>4660</v>
      </c>
      <c r="Z54" s="193" t="n">
        <f aca="false">'Глубина-день'!I68</f>
        <v>0</v>
      </c>
      <c r="AA54" s="195" t="n">
        <f aca="false">Z54/24+AA53</f>
        <v>21.2916666666667</v>
      </c>
      <c r="AB54" s="193" t="n">
        <f aca="false">IF('Глубина-день'!K69="",'Глубина-день'!K68,'Глубина-день'!K68)</f>
        <v>0</v>
      </c>
      <c r="AC54" s="193" t="n">
        <f aca="false">IF('Глубина-день'!L68="",'Глубина-день'!I68,'Глубина-день'!L68)</f>
        <v>0</v>
      </c>
      <c r="AD54" s="195" t="n">
        <f aca="false">AC54/24+AD53</f>
        <v>12.0416666666667</v>
      </c>
      <c r="AE54" s="193" t="n">
        <f aca="false">'Глубина-день'!R68</f>
        <v>0</v>
      </c>
      <c r="AF54" s="195" t="n">
        <f aca="false">AE54/24+AF53</f>
        <v>21.2916666666667</v>
      </c>
      <c r="AG54" s="193"/>
      <c r="AH54" s="197"/>
      <c r="AI54" s="193"/>
      <c r="AJ54" s="193"/>
      <c r="AK54" s="197"/>
      <c r="AL54" s="193"/>
      <c r="AM54" s="193"/>
      <c r="AN54" s="197"/>
    </row>
    <row r="55" customFormat="false" ht="13.5" hidden="false" customHeight="false" outlineLevel="0" collapsed="false">
      <c r="X55" s="193" t="n">
        <f aca="false">'Глубина-день'!A69</f>
        <v>50</v>
      </c>
      <c r="Y55" s="193" t="n">
        <f aca="false">'Глубина-день'!H69</f>
        <v>4660</v>
      </c>
      <c r="Z55" s="193" t="n">
        <f aca="false">'Глубина-день'!I69</f>
        <v>34</v>
      </c>
      <c r="AA55" s="195" t="n">
        <f aca="false">Z55/24+AA54</f>
        <v>22.7083333333333</v>
      </c>
      <c r="AB55" s="193" t="n">
        <f aca="false">IF('Глубина-день'!K70="",'Глубина-день'!K69,'Глубина-день'!K69)</f>
        <v>0</v>
      </c>
      <c r="AC55" s="193" t="n">
        <f aca="false">IF('Глубина-день'!L69="",'Глубина-день'!I69,'Глубина-день'!L69)</f>
        <v>34</v>
      </c>
      <c r="AD55" s="195" t="n">
        <f aca="false">AC55/24+AD54</f>
        <v>13.4583333333333</v>
      </c>
      <c r="AE55" s="193" t="n">
        <f aca="false">'Глубина-день'!R69</f>
        <v>34</v>
      </c>
      <c r="AF55" s="195" t="n">
        <f aca="false">AE55/24+AF54</f>
        <v>22.7083333333333</v>
      </c>
      <c r="AG55" s="193"/>
      <c r="AH55" s="197"/>
      <c r="AI55" s="193"/>
      <c r="AJ55" s="193"/>
      <c r="AK55" s="197"/>
      <c r="AL55" s="193"/>
      <c r="AM55" s="193"/>
      <c r="AN55" s="197"/>
    </row>
    <row r="56" customFormat="false" ht="13.5" hidden="false" customHeight="false" outlineLevel="0" collapsed="false">
      <c r="X56" s="193" t="n">
        <f aca="false">'Глубина-день'!A70</f>
        <v>51</v>
      </c>
      <c r="Y56" s="193" t="n">
        <f aca="false">'Глубина-день'!H70</f>
        <v>4660</v>
      </c>
      <c r="Z56" s="193" t="n">
        <f aca="false">'Глубина-день'!I70</f>
        <v>3.5</v>
      </c>
      <c r="AA56" s="195" t="n">
        <f aca="false">Z56/24+AA55</f>
        <v>22.8541666666667</v>
      </c>
      <c r="AB56" s="193" t="n">
        <f aca="false">IF('Глубина-день'!K71="",'Глубина-день'!K70,'Глубина-день'!K70)</f>
        <v>0</v>
      </c>
      <c r="AC56" s="193" t="n">
        <f aca="false">IF('Глубина-день'!L70="",'Глубина-день'!I70,'Глубина-день'!L70)</f>
        <v>3.5</v>
      </c>
      <c r="AD56" s="195" t="n">
        <f aca="false">AC56/24+AD55</f>
        <v>13.6041666666667</v>
      </c>
      <c r="AE56" s="193" t="n">
        <f aca="false">'Глубина-день'!R70</f>
        <v>3.5</v>
      </c>
      <c r="AF56" s="195" t="n">
        <f aca="false">AE56/24+AF55</f>
        <v>22.8541666666667</v>
      </c>
      <c r="AG56" s="193"/>
      <c r="AH56" s="197"/>
      <c r="AI56" s="193"/>
      <c r="AJ56" s="193"/>
      <c r="AK56" s="197"/>
      <c r="AL56" s="193"/>
      <c r="AM56" s="193"/>
      <c r="AN56" s="197"/>
    </row>
    <row r="57" customFormat="false" ht="13.5" hidden="false" customHeight="false" outlineLevel="0" collapsed="false">
      <c r="X57" s="193" t="n">
        <f aca="false">'Глубина-день'!A71</f>
        <v>52</v>
      </c>
      <c r="Y57" s="193" t="n">
        <f aca="false">'Глубина-день'!H71</f>
        <v>4660</v>
      </c>
      <c r="Z57" s="193" t="n">
        <f aca="false">'Глубина-день'!I71</f>
        <v>14</v>
      </c>
      <c r="AA57" s="195" t="n">
        <f aca="false">Z57/24+AA56</f>
        <v>23.4375</v>
      </c>
      <c r="AB57" s="193" t="n">
        <f aca="false">IF('Глубина-день'!K72="",'Глубина-день'!K71,'Глубина-день'!K71)</f>
        <v>0</v>
      </c>
      <c r="AC57" s="193" t="n">
        <f aca="false">IF('Глубина-день'!L71="",'Глубина-день'!I71,'Глубина-день'!L71)</f>
        <v>14</v>
      </c>
      <c r="AD57" s="195" t="n">
        <f aca="false">AC57/24+AD56</f>
        <v>14.1875</v>
      </c>
      <c r="AE57" s="193" t="n">
        <f aca="false">'Глубина-день'!R71</f>
        <v>14</v>
      </c>
      <c r="AF57" s="195" t="n">
        <f aca="false">AE57/24+AF56</f>
        <v>23.4375</v>
      </c>
      <c r="AG57" s="193"/>
      <c r="AH57" s="197"/>
      <c r="AI57" s="193"/>
      <c r="AJ57" s="193"/>
      <c r="AK57" s="197"/>
      <c r="AL57" s="193"/>
      <c r="AM57" s="193"/>
      <c r="AN57" s="197"/>
    </row>
    <row r="58" customFormat="false" ht="13.5" hidden="false" customHeight="false" outlineLevel="0" collapsed="false">
      <c r="X58" s="193" t="n">
        <f aca="false">'Глубина-день'!A72</f>
        <v>53</v>
      </c>
      <c r="Y58" s="193" t="n">
        <f aca="false">'Глубина-день'!H72</f>
        <v>4660</v>
      </c>
      <c r="Z58" s="193" t="n">
        <f aca="false">'Глубина-день'!I72</f>
        <v>4</v>
      </c>
      <c r="AA58" s="195" t="n">
        <f aca="false">Z58/24+AA57</f>
        <v>23.6041666666667</v>
      </c>
      <c r="AB58" s="193" t="n">
        <f aca="false">IF('Глубина-день'!K73="",'Глубина-день'!K72,'Глубина-день'!K72)</f>
        <v>0</v>
      </c>
      <c r="AC58" s="193" t="n">
        <f aca="false">IF('Глубина-день'!L72="",'Глубина-день'!I72,'Глубина-день'!L72)</f>
        <v>4</v>
      </c>
      <c r="AD58" s="195" t="n">
        <f aca="false">AC58/24+AD57</f>
        <v>14.3541666666667</v>
      </c>
      <c r="AE58" s="193" t="n">
        <f aca="false">'Глубина-день'!R72</f>
        <v>4</v>
      </c>
      <c r="AF58" s="195" t="n">
        <f aca="false">AE58/24+AF57</f>
        <v>23.6041666666667</v>
      </c>
      <c r="AG58" s="193"/>
      <c r="AH58" s="197"/>
      <c r="AI58" s="193"/>
      <c r="AJ58" s="193"/>
      <c r="AK58" s="197"/>
      <c r="AL58" s="193"/>
      <c r="AM58" s="193"/>
      <c r="AN58" s="197"/>
    </row>
    <row r="59" customFormat="false" ht="13.5" hidden="false" customHeight="false" outlineLevel="0" collapsed="false">
      <c r="X59" s="193" t="n">
        <f aca="false">'Глубина-день'!A73</f>
        <v>54</v>
      </c>
      <c r="Y59" s="193" t="n">
        <f aca="false">'Глубина-день'!H73</f>
        <v>4660</v>
      </c>
      <c r="Z59" s="193" t="n">
        <f aca="false">'Глубина-день'!I73</f>
        <v>1</v>
      </c>
      <c r="AA59" s="195" t="n">
        <f aca="false">Z59/24+AA58</f>
        <v>23.6458333333333</v>
      </c>
      <c r="AB59" s="193" t="n">
        <f aca="false">IF('Глубина-день'!K74="",'Глубина-день'!K73,'Глубина-день'!K73)</f>
        <v>0</v>
      </c>
      <c r="AC59" s="193" t="n">
        <f aca="false">IF('Глубина-день'!L73="",'Глубина-день'!I73,'Глубина-день'!L73)</f>
        <v>1</v>
      </c>
      <c r="AD59" s="195" t="n">
        <f aca="false">AC59/24+AD58</f>
        <v>14.3958333333333</v>
      </c>
      <c r="AE59" s="193" t="n">
        <f aca="false">'Глубина-день'!R73</f>
        <v>1</v>
      </c>
      <c r="AF59" s="195" t="n">
        <f aca="false">AE59/24+AF58</f>
        <v>23.6458333333333</v>
      </c>
      <c r="AG59" s="193"/>
      <c r="AH59" s="197"/>
      <c r="AI59" s="193"/>
      <c r="AJ59" s="193"/>
      <c r="AK59" s="197"/>
      <c r="AL59" s="193"/>
      <c r="AM59" s="193"/>
      <c r="AN59" s="197"/>
    </row>
    <row r="60" customFormat="false" ht="13.5" hidden="false" customHeight="false" outlineLevel="0" collapsed="false">
      <c r="X60" s="193" t="n">
        <f aca="false">'Глубина-день'!A74</f>
        <v>55</v>
      </c>
      <c r="Y60" s="193" t="n">
        <f aca="false">'Глубина-день'!H74</f>
        <v>4660</v>
      </c>
      <c r="Z60" s="193" t="n">
        <f aca="false">'Глубина-день'!I74</f>
        <v>12</v>
      </c>
      <c r="AA60" s="195" t="n">
        <f aca="false">Z60/24+AA59</f>
        <v>24.1458333333333</v>
      </c>
      <c r="AB60" s="193" t="n">
        <f aca="false">IF('Глубина-день'!K75="",'Глубина-день'!K74,'Глубина-день'!K74)</f>
        <v>0</v>
      </c>
      <c r="AC60" s="193" t="n">
        <f aca="false">IF('Глубина-день'!L74="",'Глубина-день'!I74,'Глубина-день'!L74)</f>
        <v>12</v>
      </c>
      <c r="AD60" s="195" t="n">
        <f aca="false">AC60/24+AD59</f>
        <v>14.8958333333333</v>
      </c>
      <c r="AE60" s="193" t="n">
        <f aca="false">'Глубина-день'!R74</f>
        <v>12</v>
      </c>
      <c r="AF60" s="195" t="n">
        <f aca="false">AE60/24+AF59</f>
        <v>24.1458333333333</v>
      </c>
      <c r="AG60" s="193"/>
      <c r="AH60" s="197"/>
      <c r="AI60" s="193"/>
      <c r="AJ60" s="193"/>
      <c r="AK60" s="197"/>
      <c r="AL60" s="193"/>
      <c r="AM60" s="193"/>
      <c r="AN60" s="197"/>
    </row>
    <row r="61" customFormat="false" ht="13.5" hidden="false" customHeight="false" outlineLevel="0" collapsed="false">
      <c r="X61" s="193" t="n">
        <f aca="false">'Глубина-день'!A75</f>
        <v>56</v>
      </c>
      <c r="Y61" s="193" t="n">
        <f aca="false">'Глубина-день'!H75</f>
        <v>4660</v>
      </c>
      <c r="Z61" s="193" t="n">
        <f aca="false">'Глубина-день'!I75</f>
        <v>12</v>
      </c>
      <c r="AA61" s="195" t="n">
        <f aca="false">Z61/24+AA60</f>
        <v>24.6458333333333</v>
      </c>
      <c r="AB61" s="193" t="n">
        <f aca="false">IF('Глубина-день'!K76="",'Глубина-день'!K75,'Глубина-день'!K75)</f>
        <v>0</v>
      </c>
      <c r="AC61" s="193" t="n">
        <f aca="false">IF('Глубина-день'!L75="",'Глубина-день'!I75,'Глубина-день'!L75)</f>
        <v>12</v>
      </c>
      <c r="AD61" s="195" t="n">
        <f aca="false">AC61/24+AD60</f>
        <v>15.3958333333333</v>
      </c>
      <c r="AE61" s="193" t="n">
        <f aca="false">'Глубина-день'!R75</f>
        <v>12</v>
      </c>
      <c r="AF61" s="195" t="n">
        <f aca="false">AE61/24+AF60</f>
        <v>24.6458333333333</v>
      </c>
      <c r="AG61" s="193"/>
      <c r="AH61" s="197"/>
      <c r="AI61" s="193"/>
      <c r="AJ61" s="193"/>
      <c r="AK61" s="197"/>
      <c r="AL61" s="193"/>
      <c r="AM61" s="193"/>
      <c r="AN61" s="197"/>
    </row>
    <row r="62" customFormat="false" ht="13.5" hidden="false" customHeight="false" outlineLevel="0" collapsed="false">
      <c r="X62" s="193" t="n">
        <f aca="false">'Глубина-день'!A76</f>
        <v>57</v>
      </c>
      <c r="Y62" s="193" t="n">
        <f aca="false">'Глубина-день'!H76</f>
        <v>4660</v>
      </c>
      <c r="Z62" s="193" t="n">
        <f aca="false">'Глубина-день'!I76</f>
        <v>2</v>
      </c>
      <c r="AA62" s="195" t="n">
        <f aca="false">Z62/24+AA61</f>
        <v>24.7291666666667</v>
      </c>
      <c r="AB62" s="193" t="n">
        <f aca="false">IF('Глубина-день'!K77="",'Глубина-день'!K76,'Глубина-день'!K76)</f>
        <v>0</v>
      </c>
      <c r="AC62" s="193" t="n">
        <f aca="false">IF('Глубина-день'!L76="",'Глубина-день'!I76,'Глубина-день'!L76)</f>
        <v>2</v>
      </c>
      <c r="AD62" s="195" t="n">
        <f aca="false">AC62/24+AD61</f>
        <v>15.4791666666667</v>
      </c>
      <c r="AE62" s="193" t="n">
        <f aca="false">'Глубина-день'!R76</f>
        <v>2</v>
      </c>
      <c r="AF62" s="195" t="n">
        <f aca="false">AE62/24+AF61</f>
        <v>24.7291666666667</v>
      </c>
      <c r="AG62" s="193"/>
      <c r="AH62" s="197"/>
      <c r="AI62" s="193"/>
      <c r="AJ62" s="193"/>
      <c r="AK62" s="197"/>
      <c r="AL62" s="193"/>
      <c r="AM62" s="193"/>
      <c r="AN62" s="197"/>
    </row>
    <row r="63" customFormat="false" ht="13.5" hidden="false" customHeight="false" outlineLevel="0" collapsed="false">
      <c r="X63" s="193" t="n">
        <f aca="false">'Глубина-день'!A77</f>
        <v>58</v>
      </c>
      <c r="Y63" s="193" t="n">
        <f aca="false">'Глубина-день'!H77</f>
        <v>4660</v>
      </c>
      <c r="Z63" s="193" t="n">
        <f aca="false">'Глубина-день'!I77</f>
        <v>6</v>
      </c>
      <c r="AA63" s="195" t="n">
        <f aca="false">Z63/24+AA62</f>
        <v>24.9791666666667</v>
      </c>
      <c r="AB63" s="193" t="n">
        <f aca="false">IF('Глубина-день'!K78="",'Глубина-день'!K77,'Глубина-день'!K77)</f>
        <v>0</v>
      </c>
      <c r="AC63" s="193" t="n">
        <f aca="false">IF('Глубина-день'!L77="",'Глубина-день'!I77,'Глубина-день'!L77)</f>
        <v>6</v>
      </c>
      <c r="AD63" s="195" t="n">
        <f aca="false">AC63/24+AD62</f>
        <v>15.7291666666667</v>
      </c>
      <c r="AE63" s="193" t="n">
        <f aca="false">'Глубина-день'!R77</f>
        <v>6</v>
      </c>
      <c r="AF63" s="195" t="n">
        <f aca="false">AE63/24+AF62</f>
        <v>24.9791666666667</v>
      </c>
      <c r="AG63" s="193"/>
      <c r="AH63" s="197"/>
      <c r="AI63" s="193"/>
      <c r="AJ63" s="193"/>
      <c r="AK63" s="197"/>
      <c r="AL63" s="193"/>
      <c r="AM63" s="193"/>
      <c r="AN63" s="197"/>
    </row>
    <row r="64" customFormat="false" ht="13.5" hidden="false" customHeight="false" outlineLevel="0" collapsed="false">
      <c r="X64" s="193" t="n">
        <f aca="false">'Глубина-день'!A78</f>
        <v>59</v>
      </c>
      <c r="Y64" s="193" t="n">
        <f aca="false">'Глубина-день'!H78</f>
        <v>4660</v>
      </c>
      <c r="Z64" s="193" t="n">
        <f aca="false">'Глубина-день'!I78</f>
        <v>3</v>
      </c>
      <c r="AA64" s="195" t="n">
        <f aca="false">Z64/24+AA63</f>
        <v>25.1041666666667</v>
      </c>
      <c r="AB64" s="193" t="n">
        <f aca="false">IF('Глубина-день'!K79="",'Глубина-день'!K78,'Глубина-день'!K78)</f>
        <v>0</v>
      </c>
      <c r="AC64" s="193" t="n">
        <f aca="false">IF('Глубина-день'!L78="",'Глубина-день'!I78,'Глубина-день'!L78)</f>
        <v>3</v>
      </c>
      <c r="AD64" s="195" t="n">
        <f aca="false">AC64/24+AD63</f>
        <v>15.8541666666667</v>
      </c>
      <c r="AE64" s="193" t="n">
        <f aca="false">'Глубина-день'!R78</f>
        <v>3</v>
      </c>
      <c r="AF64" s="195" t="n">
        <f aca="false">AE64/24+AF63</f>
        <v>25.1041666666667</v>
      </c>
      <c r="AG64" s="193"/>
      <c r="AH64" s="197"/>
      <c r="AI64" s="193"/>
      <c r="AJ64" s="193"/>
      <c r="AK64" s="197"/>
      <c r="AL64" s="193"/>
      <c r="AM64" s="193"/>
      <c r="AN64" s="197"/>
    </row>
    <row r="65" customFormat="false" ht="13.5" hidden="false" customHeight="false" outlineLevel="0" collapsed="false">
      <c r="X65" s="193" t="n">
        <f aca="false">'Глубина-день'!A79</f>
        <v>60</v>
      </c>
      <c r="Y65" s="193" t="n">
        <f aca="false">'Глубина-день'!H79</f>
        <v>4660</v>
      </c>
      <c r="Z65" s="193" t="n">
        <f aca="false">'Глубина-день'!I79</f>
        <v>10</v>
      </c>
      <c r="AA65" s="195" t="n">
        <f aca="false">Z65/24+AA64</f>
        <v>25.5208333333333</v>
      </c>
      <c r="AB65" s="193" t="n">
        <f aca="false">IF('Глубина-день'!K80="",'Глубина-день'!K79,'Глубина-день'!K79)</f>
        <v>0</v>
      </c>
      <c r="AC65" s="193" t="n">
        <f aca="false">IF('Глубина-день'!L79="",'Глубина-день'!I79,'Глубина-день'!L79)</f>
        <v>10</v>
      </c>
      <c r="AD65" s="195" t="n">
        <f aca="false">AC65/24+AD64</f>
        <v>16.2708333333333</v>
      </c>
      <c r="AE65" s="193" t="n">
        <f aca="false">'Глубина-день'!R79</f>
        <v>10</v>
      </c>
      <c r="AF65" s="195" t="n">
        <f aca="false">AE65/24+AF64</f>
        <v>25.5208333333333</v>
      </c>
      <c r="AG65" s="193"/>
      <c r="AH65" s="197"/>
      <c r="AI65" s="193"/>
      <c r="AJ65" s="193"/>
      <c r="AK65" s="197"/>
      <c r="AL65" s="193"/>
      <c r="AM65" s="193"/>
      <c r="AN65" s="197"/>
    </row>
    <row r="66" customFormat="false" ht="13.5" hidden="false" customHeight="false" outlineLevel="0" collapsed="false">
      <c r="X66" s="193" t="n">
        <f aca="false">'Глубина-день'!A80</f>
        <v>61</v>
      </c>
      <c r="Y66" s="193" t="n">
        <f aca="false">'Глубина-день'!H80</f>
        <v>4660</v>
      </c>
      <c r="Z66" s="193" t="n">
        <f aca="false">'Глубина-день'!I80</f>
        <v>4</v>
      </c>
      <c r="AA66" s="195" t="n">
        <f aca="false">Z66/24+AA65</f>
        <v>25.6875</v>
      </c>
      <c r="AB66" s="193" t="n">
        <f aca="false">IF('Глубина-день'!K81="",'Глубина-день'!K80,'Глубина-день'!K80)</f>
        <v>0</v>
      </c>
      <c r="AC66" s="193" t="n">
        <f aca="false">IF('Глубина-день'!L80="",'Глубина-день'!I80,'Глубина-день'!L80)</f>
        <v>4</v>
      </c>
      <c r="AD66" s="195" t="n">
        <f aca="false">AC66/24+AD65</f>
        <v>16.4375</v>
      </c>
      <c r="AE66" s="193" t="n">
        <f aca="false">'Глубина-день'!R80</f>
        <v>4</v>
      </c>
      <c r="AF66" s="195" t="n">
        <f aca="false">AE66/24+AF65</f>
        <v>25.6875</v>
      </c>
      <c r="AG66" s="193"/>
      <c r="AH66" s="197"/>
      <c r="AI66" s="193"/>
      <c r="AJ66" s="193"/>
      <c r="AK66" s="197"/>
      <c r="AL66" s="193"/>
      <c r="AM66" s="193"/>
      <c r="AN66" s="197"/>
    </row>
    <row r="67" customFormat="false" ht="13.5" hidden="false" customHeight="false" outlineLevel="0" collapsed="false">
      <c r="X67" s="193" t="n">
        <f aca="false">'Глубина-день'!A81</f>
        <v>62</v>
      </c>
      <c r="Y67" s="193" t="n">
        <f aca="false">'Глубина-день'!H81</f>
        <v>4660</v>
      </c>
      <c r="Z67" s="193" t="n">
        <f aca="false">'Глубина-день'!I81</f>
        <v>24</v>
      </c>
      <c r="AA67" s="195" t="n">
        <f aca="false">Z67/24+AA66</f>
        <v>26.6875</v>
      </c>
      <c r="AB67" s="193" t="n">
        <f aca="false">IF('Глубина-день'!K82="",'Глубина-день'!K81,'Глубина-день'!K81)</f>
        <v>0</v>
      </c>
      <c r="AC67" s="193" t="n">
        <f aca="false">IF('Глубина-день'!L81="",'Глубина-день'!I81,'Глубина-день'!L81)</f>
        <v>24</v>
      </c>
      <c r="AD67" s="195" t="n">
        <f aca="false">AC67/24+AD66</f>
        <v>17.4375</v>
      </c>
      <c r="AE67" s="193" t="n">
        <f aca="false">'Глубина-день'!R81</f>
        <v>24</v>
      </c>
      <c r="AF67" s="195" t="n">
        <f aca="false">AE67/24+AF66</f>
        <v>26.6875</v>
      </c>
      <c r="AG67" s="193"/>
      <c r="AH67" s="197"/>
      <c r="AI67" s="193"/>
      <c r="AJ67" s="193"/>
      <c r="AK67" s="197"/>
      <c r="AL67" s="193"/>
      <c r="AM67" s="193"/>
      <c r="AN67" s="197"/>
    </row>
    <row r="68" customFormat="false" ht="13.5" hidden="false" customHeight="false" outlineLevel="0" collapsed="false">
      <c r="X68" s="193" t="n">
        <f aca="false">'Глубина-день'!A82</f>
        <v>63</v>
      </c>
      <c r="Y68" s="193" t="n">
        <f aca="false">'Глубина-день'!H82</f>
        <v>4660</v>
      </c>
      <c r="Z68" s="193" t="n">
        <f aca="false">'Глубина-день'!I82</f>
        <v>3</v>
      </c>
      <c r="AA68" s="195" t="n">
        <f aca="false">Z68/24+AA67</f>
        <v>26.8125</v>
      </c>
      <c r="AB68" s="193" t="n">
        <f aca="false">IF('Глубина-день'!K83="",'Глубина-день'!K82,'Глубина-день'!K82)</f>
        <v>0</v>
      </c>
      <c r="AC68" s="193" t="n">
        <f aca="false">IF('Глубина-день'!L82="",'Глубина-день'!I82,'Глубина-день'!L82)</f>
        <v>3</v>
      </c>
      <c r="AD68" s="195" t="n">
        <f aca="false">AC68/24+AD67</f>
        <v>17.5625</v>
      </c>
      <c r="AE68" s="193" t="n">
        <f aca="false">'Глубина-день'!R82</f>
        <v>3</v>
      </c>
      <c r="AF68" s="195" t="n">
        <f aca="false">AE68/24+AF67</f>
        <v>26.8125</v>
      </c>
      <c r="AG68" s="193"/>
      <c r="AH68" s="197"/>
      <c r="AI68" s="193"/>
      <c r="AJ68" s="193"/>
      <c r="AK68" s="197"/>
      <c r="AL68" s="193"/>
      <c r="AM68" s="193"/>
      <c r="AN68" s="197"/>
    </row>
    <row r="69" customFormat="false" ht="13.5" hidden="false" customHeight="false" outlineLevel="0" collapsed="false">
      <c r="X69" s="193"/>
      <c r="Y69" s="193"/>
      <c r="Z69" s="193"/>
      <c r="AA69" s="195"/>
      <c r="AB69" s="193"/>
      <c r="AC69" s="193"/>
      <c r="AD69" s="195"/>
      <c r="AE69" s="193"/>
      <c r="AF69" s="195"/>
      <c r="AG69" s="193"/>
      <c r="AH69" s="197"/>
      <c r="AI69" s="193"/>
      <c r="AJ69" s="193"/>
      <c r="AK69" s="197"/>
      <c r="AL69" s="193"/>
      <c r="AM69" s="193"/>
      <c r="AN69" s="197"/>
    </row>
    <row r="70" customFormat="false" ht="13.5" hidden="false" customHeight="false" outlineLevel="0" collapsed="false">
      <c r="X70" s="193"/>
      <c r="Y70" s="193"/>
      <c r="Z70" s="193"/>
      <c r="AA70" s="195"/>
      <c r="AB70" s="193"/>
      <c r="AC70" s="193"/>
      <c r="AD70" s="195"/>
      <c r="AE70" s="193"/>
      <c r="AF70" s="195"/>
      <c r="AG70" s="193"/>
      <c r="AH70" s="197"/>
      <c r="AI70" s="193"/>
      <c r="AJ70" s="193"/>
      <c r="AK70" s="197"/>
      <c r="AL70" s="193"/>
      <c r="AM70" s="193"/>
      <c r="AN70" s="197"/>
    </row>
    <row r="71" customFormat="false" ht="13.5" hidden="false" customHeight="false" outlineLevel="0" collapsed="false">
      <c r="X71" s="193"/>
      <c r="Y71" s="193"/>
      <c r="Z71" s="193"/>
      <c r="AA71" s="195"/>
      <c r="AB71" s="193"/>
      <c r="AC71" s="193"/>
      <c r="AD71" s="195"/>
      <c r="AE71" s="193"/>
      <c r="AF71" s="195"/>
      <c r="AG71" s="193"/>
      <c r="AH71" s="197"/>
      <c r="AI71" s="193"/>
      <c r="AJ71" s="193"/>
      <c r="AK71" s="197"/>
      <c r="AL71" s="193"/>
      <c r="AM71" s="193"/>
      <c r="AN71" s="197"/>
    </row>
    <row r="72" customFormat="false" ht="13.5" hidden="false" customHeight="false" outlineLevel="0" collapsed="false">
      <c r="X72" s="193"/>
      <c r="Y72" s="193"/>
      <c r="Z72" s="193"/>
      <c r="AA72" s="195"/>
      <c r="AB72" s="193"/>
      <c r="AC72" s="193"/>
      <c r="AD72" s="195"/>
      <c r="AE72" s="193"/>
      <c r="AF72" s="195"/>
      <c r="AG72" s="193"/>
      <c r="AH72" s="197"/>
      <c r="AI72" s="193"/>
      <c r="AJ72" s="193"/>
      <c r="AK72" s="197"/>
      <c r="AL72" s="193"/>
      <c r="AM72" s="193"/>
      <c r="AN72" s="197"/>
    </row>
    <row r="73" customFormat="false" ht="13.5" hidden="false" customHeight="false" outlineLevel="0" collapsed="false">
      <c r="X73" s="193"/>
      <c r="Y73" s="193"/>
      <c r="Z73" s="193"/>
      <c r="AA73" s="195"/>
      <c r="AB73" s="193"/>
      <c r="AC73" s="193"/>
      <c r="AD73" s="195"/>
      <c r="AE73" s="193"/>
      <c r="AF73" s="195"/>
      <c r="AG73" s="193"/>
      <c r="AH73" s="197"/>
      <c r="AI73" s="193"/>
      <c r="AJ73" s="193"/>
      <c r="AK73" s="197"/>
      <c r="AL73" s="193"/>
      <c r="AM73" s="193"/>
      <c r="AN73" s="197"/>
    </row>
    <row r="74" customFormat="false" ht="13.5" hidden="false" customHeight="false" outlineLevel="0" collapsed="false">
      <c r="X74" s="193"/>
      <c r="Y74" s="193"/>
      <c r="Z74" s="193"/>
      <c r="AA74" s="195"/>
      <c r="AB74" s="193"/>
      <c r="AC74" s="193"/>
      <c r="AD74" s="195"/>
      <c r="AE74" s="193"/>
      <c r="AF74" s="195"/>
      <c r="AG74" s="193"/>
      <c r="AH74" s="197"/>
      <c r="AI74" s="193"/>
      <c r="AJ74" s="193"/>
      <c r="AK74" s="197"/>
      <c r="AL74" s="193"/>
      <c r="AM74" s="193"/>
      <c r="AN74" s="197"/>
    </row>
    <row r="75" customFormat="false" ht="13.5" hidden="false" customHeight="false" outlineLevel="0" collapsed="false">
      <c r="X75" s="193"/>
      <c r="Y75" s="193"/>
      <c r="Z75" s="193"/>
      <c r="AA75" s="195"/>
      <c r="AB75" s="193"/>
      <c r="AC75" s="193"/>
      <c r="AD75" s="195"/>
      <c r="AE75" s="193"/>
      <c r="AF75" s="195"/>
      <c r="AG75" s="193"/>
      <c r="AH75" s="197"/>
      <c r="AI75" s="193"/>
      <c r="AJ75" s="193"/>
      <c r="AK75" s="197"/>
      <c r="AL75" s="193"/>
      <c r="AM75" s="193"/>
      <c r="AN75" s="197"/>
    </row>
    <row r="76" customFormat="false" ht="13.5" hidden="false" customHeight="false" outlineLevel="0" collapsed="false">
      <c r="X76" s="193"/>
      <c r="Y76" s="193"/>
      <c r="Z76" s="193"/>
      <c r="AA76" s="195"/>
      <c r="AB76" s="193"/>
      <c r="AC76" s="193"/>
      <c r="AD76" s="195"/>
      <c r="AE76" s="193"/>
      <c r="AF76" s="195"/>
      <c r="AG76" s="193"/>
      <c r="AH76" s="197"/>
      <c r="AI76" s="193"/>
      <c r="AJ76" s="193"/>
      <c r="AK76" s="197"/>
      <c r="AL76" s="193"/>
      <c r="AM76" s="193"/>
      <c r="AN76" s="197"/>
    </row>
    <row r="77" customFormat="false" ht="13.5" hidden="false" customHeight="false" outlineLevel="0" collapsed="false">
      <c r="X77" s="193"/>
      <c r="Y77" s="193"/>
      <c r="Z77" s="193"/>
      <c r="AA77" s="195"/>
      <c r="AB77" s="193"/>
      <c r="AC77" s="193"/>
      <c r="AD77" s="195"/>
      <c r="AE77" s="193"/>
      <c r="AF77" s="195"/>
      <c r="AG77" s="193"/>
      <c r="AH77" s="197"/>
      <c r="AI77" s="193"/>
      <c r="AJ77" s="193"/>
      <c r="AK77" s="197"/>
      <c r="AL77" s="193"/>
      <c r="AM77" s="193"/>
      <c r="AN77" s="197"/>
    </row>
    <row r="78" customFormat="false" ht="13.5" hidden="false" customHeight="false" outlineLevel="0" collapsed="false">
      <c r="X78" s="193"/>
      <c r="Y78" s="193"/>
      <c r="Z78" s="193"/>
      <c r="AA78" s="195"/>
      <c r="AB78" s="193"/>
      <c r="AC78" s="193"/>
      <c r="AD78" s="195"/>
      <c r="AE78" s="193"/>
      <c r="AF78" s="195"/>
      <c r="AG78" s="193"/>
      <c r="AH78" s="197"/>
      <c r="AI78" s="193"/>
      <c r="AJ78" s="193"/>
      <c r="AK78" s="197"/>
      <c r="AL78" s="193"/>
      <c r="AM78" s="193"/>
      <c r="AN78" s="197"/>
    </row>
    <row r="79" customFormat="false" ht="13.5" hidden="false" customHeight="false" outlineLevel="0" collapsed="false">
      <c r="X79" s="193"/>
      <c r="Y79" s="193"/>
      <c r="Z79" s="193"/>
      <c r="AA79" s="195"/>
      <c r="AB79" s="193"/>
      <c r="AC79" s="193"/>
      <c r="AD79" s="195"/>
      <c r="AE79" s="193"/>
      <c r="AF79" s="195"/>
      <c r="AG79" s="193"/>
      <c r="AH79" s="197"/>
      <c r="AI79" s="193"/>
      <c r="AJ79" s="193"/>
      <c r="AK79" s="197"/>
      <c r="AL79" s="193"/>
      <c r="AM79" s="193"/>
      <c r="AN79" s="197"/>
    </row>
    <row r="80" customFormat="false" ht="13.5" hidden="false" customHeight="false" outlineLevel="0" collapsed="false">
      <c r="X80" s="193"/>
      <c r="Y80" s="193"/>
      <c r="Z80" s="193"/>
      <c r="AA80" s="195"/>
      <c r="AB80" s="193"/>
      <c r="AC80" s="193"/>
      <c r="AD80" s="195"/>
      <c r="AE80" s="193"/>
      <c r="AF80" s="195"/>
      <c r="AG80" s="193"/>
      <c r="AH80" s="197"/>
      <c r="AI80" s="193"/>
      <c r="AJ80" s="193"/>
      <c r="AK80" s="197"/>
      <c r="AL80" s="193"/>
      <c r="AM80" s="193"/>
      <c r="AN80" s="197"/>
    </row>
    <row r="81" customFormat="false" ht="13.5" hidden="false" customHeight="false" outlineLevel="0" collapsed="false">
      <c r="X81" s="193"/>
      <c r="Y81" s="193"/>
      <c r="Z81" s="193"/>
      <c r="AA81" s="195"/>
      <c r="AB81" s="193"/>
      <c r="AC81" s="193"/>
      <c r="AD81" s="195"/>
      <c r="AE81" s="193"/>
      <c r="AF81" s="195"/>
      <c r="AG81" s="193"/>
      <c r="AH81" s="197"/>
      <c r="AI81" s="193"/>
      <c r="AJ81" s="193"/>
      <c r="AK81" s="197"/>
      <c r="AL81" s="193"/>
      <c r="AM81" s="193"/>
      <c r="AN81" s="197"/>
    </row>
    <row r="82" customFormat="false" ht="13.5" hidden="false" customHeight="false" outlineLevel="0" collapsed="false">
      <c r="X82" s="193"/>
      <c r="Y82" s="193"/>
      <c r="Z82" s="193"/>
      <c r="AA82" s="195"/>
      <c r="AB82" s="193"/>
      <c r="AC82" s="193"/>
      <c r="AD82" s="195"/>
      <c r="AE82" s="193"/>
      <c r="AF82" s="195"/>
      <c r="AG82" s="193"/>
      <c r="AH82" s="197"/>
      <c r="AI82" s="193"/>
      <c r="AJ82" s="193"/>
      <c r="AK82" s="197"/>
      <c r="AL82" s="193"/>
      <c r="AM82" s="193"/>
      <c r="AN82" s="197"/>
    </row>
    <row r="83" customFormat="false" ht="13.5" hidden="false" customHeight="false" outlineLevel="0" collapsed="false">
      <c r="X83" s="193"/>
      <c r="Y83" s="193"/>
      <c r="Z83" s="193"/>
      <c r="AA83" s="195"/>
      <c r="AB83" s="193"/>
      <c r="AC83" s="193"/>
      <c r="AD83" s="195"/>
      <c r="AE83" s="193"/>
      <c r="AF83" s="195"/>
      <c r="AG83" s="193"/>
      <c r="AH83" s="197"/>
      <c r="AI83" s="193"/>
      <c r="AJ83" s="193"/>
      <c r="AK83" s="197"/>
      <c r="AL83" s="193"/>
      <c r="AM83" s="193"/>
      <c r="AN83" s="197"/>
    </row>
    <row r="84" customFormat="false" ht="13.5" hidden="false" customHeight="false" outlineLevel="0" collapsed="false">
      <c r="X84" s="193"/>
      <c r="Y84" s="193"/>
      <c r="Z84" s="193"/>
      <c r="AA84" s="195"/>
      <c r="AB84" s="193"/>
      <c r="AC84" s="193"/>
      <c r="AD84" s="195"/>
      <c r="AE84" s="193"/>
      <c r="AF84" s="195"/>
      <c r="AG84" s="193"/>
      <c r="AH84" s="197"/>
      <c r="AI84" s="193"/>
      <c r="AJ84" s="193"/>
      <c r="AK84" s="197"/>
      <c r="AL84" s="193"/>
      <c r="AM84" s="193"/>
      <c r="AN84" s="197"/>
    </row>
    <row r="85" customFormat="false" ht="13.5" hidden="false" customHeight="false" outlineLevel="0" collapsed="false">
      <c r="X85" s="193"/>
      <c r="Y85" s="193"/>
      <c r="Z85" s="193"/>
      <c r="AA85" s="195"/>
      <c r="AB85" s="193"/>
      <c r="AC85" s="193"/>
      <c r="AD85" s="195"/>
      <c r="AE85" s="193"/>
      <c r="AF85" s="195"/>
      <c r="AG85" s="193"/>
      <c r="AH85" s="197"/>
      <c r="AI85" s="193"/>
      <c r="AJ85" s="193"/>
      <c r="AK85" s="197"/>
      <c r="AL85" s="193"/>
      <c r="AM85" s="193"/>
      <c r="AN85" s="197"/>
    </row>
    <row r="86" customFormat="false" ht="13.5" hidden="false" customHeight="false" outlineLevel="0" collapsed="false">
      <c r="X86" s="193"/>
      <c r="Y86" s="193"/>
      <c r="Z86" s="193"/>
      <c r="AA86" s="195"/>
      <c r="AB86" s="193"/>
      <c r="AC86" s="193"/>
      <c r="AD86" s="195"/>
      <c r="AE86" s="193"/>
      <c r="AF86" s="195"/>
      <c r="AG86" s="193"/>
      <c r="AH86" s="197"/>
      <c r="AI86" s="193"/>
      <c r="AJ86" s="193"/>
      <c r="AK86" s="197"/>
      <c r="AL86" s="193"/>
      <c r="AM86" s="193"/>
      <c r="AN86" s="197"/>
    </row>
    <row r="87" customFormat="false" ht="13.5" hidden="false" customHeight="false" outlineLevel="0" collapsed="false">
      <c r="X87" s="193"/>
      <c r="Y87" s="193"/>
      <c r="Z87" s="193"/>
      <c r="AA87" s="195"/>
      <c r="AB87" s="193"/>
      <c r="AC87" s="193"/>
      <c r="AD87" s="195"/>
      <c r="AE87" s="193"/>
      <c r="AF87" s="195"/>
      <c r="AG87" s="193"/>
      <c r="AH87" s="197"/>
      <c r="AI87" s="193"/>
      <c r="AJ87" s="193"/>
      <c r="AK87" s="197"/>
      <c r="AL87" s="193"/>
      <c r="AM87" s="193"/>
      <c r="AN87" s="197"/>
    </row>
    <row r="88" customFormat="false" ht="13.5" hidden="false" customHeight="false" outlineLevel="0" collapsed="false">
      <c r="X88" s="193"/>
      <c r="Y88" s="193"/>
      <c r="Z88" s="193"/>
      <c r="AA88" s="195"/>
      <c r="AB88" s="193"/>
      <c r="AC88" s="193"/>
      <c r="AD88" s="195"/>
      <c r="AE88" s="193"/>
      <c r="AF88" s="195"/>
      <c r="AG88" s="193"/>
      <c r="AH88" s="197"/>
      <c r="AI88" s="193"/>
      <c r="AJ88" s="193"/>
      <c r="AK88" s="197"/>
      <c r="AL88" s="193"/>
      <c r="AM88" s="193"/>
      <c r="AN88" s="197"/>
    </row>
    <row r="89" customFormat="false" ht="13.5" hidden="false" customHeight="false" outlineLevel="0" collapsed="false">
      <c r="X89" s="193"/>
      <c r="Y89" s="193"/>
      <c r="Z89" s="193"/>
      <c r="AA89" s="195"/>
      <c r="AB89" s="193"/>
      <c r="AC89" s="193"/>
      <c r="AD89" s="195"/>
      <c r="AE89" s="193"/>
      <c r="AF89" s="195"/>
      <c r="AG89" s="193"/>
      <c r="AH89" s="197"/>
      <c r="AI89" s="193"/>
      <c r="AJ89" s="193"/>
      <c r="AK89" s="197"/>
      <c r="AL89" s="193"/>
      <c r="AM89" s="193"/>
      <c r="AN89" s="197"/>
    </row>
    <row r="90" customFormat="false" ht="13.5" hidden="false" customHeight="false" outlineLevel="0" collapsed="false">
      <c r="X90" s="193"/>
      <c r="Y90" s="193"/>
      <c r="Z90" s="193"/>
      <c r="AA90" s="195"/>
      <c r="AB90" s="193"/>
      <c r="AC90" s="193"/>
      <c r="AD90" s="195"/>
      <c r="AE90" s="193"/>
      <c r="AF90" s="195"/>
      <c r="AG90" s="193"/>
      <c r="AH90" s="197"/>
      <c r="AI90" s="193"/>
      <c r="AJ90" s="193"/>
      <c r="AK90" s="197"/>
      <c r="AL90" s="193"/>
      <c r="AM90" s="193"/>
      <c r="AN90" s="197"/>
    </row>
    <row r="91" customFormat="false" ht="13.5" hidden="false" customHeight="false" outlineLevel="0" collapsed="false">
      <c r="X91" s="193"/>
      <c r="Y91" s="193"/>
      <c r="Z91" s="193"/>
      <c r="AA91" s="195"/>
      <c r="AB91" s="193"/>
      <c r="AC91" s="193"/>
      <c r="AD91" s="195"/>
      <c r="AE91" s="193"/>
      <c r="AF91" s="195"/>
      <c r="AG91" s="193"/>
      <c r="AH91" s="197"/>
      <c r="AI91" s="193"/>
      <c r="AJ91" s="193"/>
      <c r="AK91" s="197"/>
      <c r="AL91" s="193"/>
      <c r="AM91" s="193"/>
      <c r="AN91" s="197"/>
    </row>
    <row r="92" customFormat="false" ht="13.5" hidden="false" customHeight="false" outlineLevel="0" collapsed="false">
      <c r="X92" s="193"/>
      <c r="Y92" s="193"/>
      <c r="Z92" s="193"/>
      <c r="AA92" s="195"/>
      <c r="AB92" s="193"/>
      <c r="AC92" s="193"/>
      <c r="AD92" s="195"/>
      <c r="AE92" s="193"/>
      <c r="AF92" s="195"/>
      <c r="AG92" s="193"/>
      <c r="AH92" s="197"/>
      <c r="AI92" s="193"/>
      <c r="AJ92" s="193"/>
      <c r="AK92" s="197"/>
      <c r="AL92" s="193"/>
      <c r="AM92" s="193"/>
      <c r="AN92" s="197"/>
    </row>
    <row r="93" customFormat="false" ht="13.5" hidden="false" customHeight="false" outlineLevel="0" collapsed="false">
      <c r="X93" s="193"/>
      <c r="Y93" s="193"/>
      <c r="Z93" s="193"/>
      <c r="AA93" s="195"/>
      <c r="AB93" s="193"/>
      <c r="AC93" s="193"/>
      <c r="AD93" s="195"/>
      <c r="AE93" s="193"/>
      <c r="AF93" s="195"/>
      <c r="AG93" s="193"/>
      <c r="AH93" s="197"/>
      <c r="AI93" s="193"/>
      <c r="AJ93" s="193"/>
      <c r="AK93" s="197"/>
      <c r="AL93" s="193"/>
      <c r="AM93" s="193"/>
      <c r="AN93" s="197"/>
    </row>
    <row r="94" customFormat="false" ht="13.5" hidden="false" customHeight="false" outlineLevel="0" collapsed="false">
      <c r="X94" s="193"/>
      <c r="Y94" s="193"/>
      <c r="Z94" s="193"/>
      <c r="AA94" s="195"/>
      <c r="AB94" s="193"/>
      <c r="AC94" s="193"/>
      <c r="AD94" s="195"/>
      <c r="AE94" s="193"/>
      <c r="AF94" s="195"/>
      <c r="AG94" s="193"/>
      <c r="AH94" s="197"/>
      <c r="AI94" s="193"/>
      <c r="AJ94" s="193"/>
      <c r="AK94" s="197"/>
      <c r="AL94" s="193"/>
      <c r="AM94" s="193"/>
      <c r="AN94" s="197"/>
    </row>
    <row r="95" customFormat="false" ht="13.5" hidden="false" customHeight="false" outlineLevel="0" collapsed="false">
      <c r="X95" s="193"/>
      <c r="Y95" s="193"/>
      <c r="Z95" s="193"/>
      <c r="AA95" s="195"/>
      <c r="AB95" s="193"/>
      <c r="AC95" s="193"/>
      <c r="AD95" s="195"/>
      <c r="AE95" s="193"/>
      <c r="AF95" s="195"/>
      <c r="AG95" s="193"/>
      <c r="AH95" s="197"/>
      <c r="AI95" s="193"/>
      <c r="AJ95" s="193"/>
      <c r="AK95" s="197"/>
      <c r="AL95" s="193"/>
      <c r="AM95" s="193"/>
      <c r="AN95" s="197"/>
    </row>
    <row r="96" customFormat="false" ht="13.5" hidden="false" customHeight="false" outlineLevel="0" collapsed="false">
      <c r="X96" s="193"/>
      <c r="Y96" s="193"/>
      <c r="Z96" s="193"/>
      <c r="AA96" s="195"/>
      <c r="AB96" s="193"/>
      <c r="AC96" s="193"/>
      <c r="AD96" s="195"/>
      <c r="AE96" s="193"/>
      <c r="AF96" s="195"/>
      <c r="AG96" s="193"/>
      <c r="AH96" s="197"/>
      <c r="AI96" s="193"/>
      <c r="AJ96" s="193"/>
      <c r="AK96" s="197"/>
      <c r="AL96" s="193"/>
      <c r="AM96" s="193"/>
      <c r="AN96" s="197"/>
    </row>
    <row r="97" customFormat="false" ht="13.5" hidden="false" customHeight="false" outlineLevel="0" collapsed="false">
      <c r="X97" s="193"/>
      <c r="Y97" s="193"/>
      <c r="Z97" s="193"/>
      <c r="AA97" s="195"/>
      <c r="AB97" s="193"/>
      <c r="AC97" s="193"/>
      <c r="AD97" s="195"/>
      <c r="AE97" s="193"/>
      <c r="AF97" s="195"/>
      <c r="AG97" s="193"/>
      <c r="AH97" s="197"/>
      <c r="AI97" s="193"/>
      <c r="AJ97" s="193"/>
      <c r="AK97" s="197"/>
      <c r="AL97" s="193"/>
      <c r="AM97" s="193"/>
      <c r="AN97" s="197"/>
    </row>
    <row r="98" customFormat="false" ht="13.5" hidden="false" customHeight="false" outlineLevel="0" collapsed="false">
      <c r="X98" s="193"/>
      <c r="Y98" s="193"/>
      <c r="Z98" s="193"/>
      <c r="AA98" s="195"/>
      <c r="AB98" s="193"/>
      <c r="AC98" s="193"/>
      <c r="AD98" s="195"/>
      <c r="AE98" s="193"/>
      <c r="AF98" s="195"/>
      <c r="AG98" s="193"/>
      <c r="AH98" s="197"/>
      <c r="AI98" s="193"/>
      <c r="AJ98" s="193"/>
      <c r="AK98" s="197"/>
      <c r="AL98" s="193"/>
      <c r="AM98" s="193"/>
      <c r="AN98" s="197"/>
    </row>
    <row r="99" customFormat="false" ht="13.5" hidden="false" customHeight="false" outlineLevel="0" collapsed="false">
      <c r="X99" s="193"/>
      <c r="Y99" s="193"/>
      <c r="Z99" s="193"/>
      <c r="AA99" s="195"/>
      <c r="AB99" s="193"/>
      <c r="AC99" s="193"/>
      <c r="AD99" s="195"/>
      <c r="AE99" s="193"/>
      <c r="AF99" s="195"/>
      <c r="AG99" s="193"/>
      <c r="AH99" s="197"/>
      <c r="AI99" s="193"/>
      <c r="AJ99" s="193"/>
      <c r="AK99" s="197"/>
      <c r="AL99" s="193"/>
      <c r="AM99" s="193"/>
      <c r="AN99" s="197"/>
    </row>
    <row r="100" customFormat="false" ht="13.5" hidden="false" customHeight="false" outlineLevel="0" collapsed="false">
      <c r="X100" s="193"/>
      <c r="Y100" s="193"/>
      <c r="Z100" s="193"/>
      <c r="AA100" s="195"/>
      <c r="AB100" s="193"/>
      <c r="AC100" s="193"/>
      <c r="AD100" s="195"/>
      <c r="AE100" s="193"/>
      <c r="AF100" s="195"/>
      <c r="AG100" s="193"/>
      <c r="AH100" s="197"/>
      <c r="AI100" s="193"/>
      <c r="AJ100" s="193"/>
      <c r="AK100" s="197"/>
      <c r="AL100" s="193"/>
      <c r="AM100" s="193"/>
      <c r="AN100" s="197"/>
    </row>
    <row r="101" customFormat="false" ht="13.5" hidden="false" customHeight="false" outlineLevel="0" collapsed="false">
      <c r="X101" s="193"/>
      <c r="Y101" s="193"/>
      <c r="Z101" s="193"/>
      <c r="AA101" s="195"/>
      <c r="AB101" s="193"/>
      <c r="AC101" s="193"/>
      <c r="AD101" s="195"/>
      <c r="AE101" s="193"/>
      <c r="AF101" s="195"/>
      <c r="AG101" s="193"/>
      <c r="AH101" s="197"/>
      <c r="AI101" s="193"/>
      <c r="AJ101" s="193"/>
      <c r="AK101" s="197"/>
      <c r="AL101" s="193"/>
      <c r="AM101" s="193"/>
      <c r="AN101" s="197"/>
    </row>
    <row r="102" customFormat="false" ht="13.5" hidden="false" customHeight="false" outlineLevel="0" collapsed="false">
      <c r="X102" s="193"/>
      <c r="Y102" s="193"/>
      <c r="Z102" s="193"/>
      <c r="AA102" s="195"/>
      <c r="AB102" s="193"/>
      <c r="AC102" s="193"/>
      <c r="AD102" s="195"/>
      <c r="AE102" s="193"/>
      <c r="AF102" s="195"/>
      <c r="AG102" s="193"/>
      <c r="AH102" s="197"/>
      <c r="AI102" s="193"/>
      <c r="AJ102" s="193"/>
      <c r="AK102" s="197"/>
      <c r="AL102" s="193"/>
      <c r="AM102" s="193"/>
      <c r="AN102" s="197"/>
    </row>
    <row r="103" customFormat="false" ht="13.5" hidden="false" customHeight="false" outlineLevel="0" collapsed="false">
      <c r="X103" s="193"/>
      <c r="Y103" s="193"/>
      <c r="Z103" s="193"/>
      <c r="AA103" s="195"/>
      <c r="AB103" s="193"/>
      <c r="AC103" s="193"/>
      <c r="AD103" s="195"/>
      <c r="AE103" s="193"/>
      <c r="AF103" s="195"/>
      <c r="AG103" s="193"/>
      <c r="AH103" s="197"/>
      <c r="AI103" s="193"/>
      <c r="AJ103" s="193"/>
      <c r="AK103" s="197"/>
      <c r="AL103" s="193"/>
      <c r="AM103" s="193"/>
      <c r="AN103" s="197"/>
    </row>
    <row r="104" customFormat="false" ht="13.5" hidden="false" customHeight="false" outlineLevel="0" collapsed="false">
      <c r="X104" s="193"/>
      <c r="Y104" s="193"/>
      <c r="Z104" s="193"/>
      <c r="AA104" s="195"/>
      <c r="AB104" s="193"/>
      <c r="AC104" s="193"/>
      <c r="AD104" s="195"/>
      <c r="AE104" s="193"/>
      <c r="AF104" s="195"/>
      <c r="AG104" s="193"/>
      <c r="AH104" s="197"/>
      <c r="AI104" s="193"/>
      <c r="AJ104" s="193"/>
      <c r="AK104" s="197"/>
      <c r="AL104" s="193"/>
      <c r="AM104" s="193"/>
      <c r="AN104" s="197"/>
    </row>
    <row r="105" customFormat="false" ht="13.5" hidden="false" customHeight="false" outlineLevel="0" collapsed="false">
      <c r="X105" s="193"/>
      <c r="Y105" s="193"/>
      <c r="Z105" s="193"/>
      <c r="AA105" s="195"/>
      <c r="AB105" s="193"/>
      <c r="AC105" s="193"/>
      <c r="AD105" s="195"/>
      <c r="AE105" s="193"/>
      <c r="AF105" s="195"/>
      <c r="AG105" s="193"/>
      <c r="AH105" s="197"/>
      <c r="AI105" s="193"/>
      <c r="AJ105" s="193"/>
      <c r="AK105" s="197"/>
      <c r="AL105" s="193"/>
      <c r="AM105" s="193"/>
      <c r="AN105" s="197"/>
    </row>
    <row r="106" customFormat="false" ht="13.5" hidden="false" customHeight="false" outlineLevel="0" collapsed="false">
      <c r="X106" s="193"/>
      <c r="Y106" s="193"/>
      <c r="Z106" s="193"/>
      <c r="AA106" s="195"/>
      <c r="AB106" s="193"/>
      <c r="AC106" s="193"/>
      <c r="AD106" s="195"/>
      <c r="AE106" s="193"/>
      <c r="AF106" s="195"/>
      <c r="AG106" s="193"/>
      <c r="AH106" s="197"/>
      <c r="AI106" s="193"/>
      <c r="AJ106" s="193"/>
      <c r="AK106" s="197"/>
      <c r="AL106" s="193"/>
      <c r="AM106" s="193"/>
      <c r="AN106" s="197"/>
    </row>
    <row r="107" customFormat="false" ht="13.5" hidden="false" customHeight="false" outlineLevel="0" collapsed="false">
      <c r="X107" s="193"/>
      <c r="Y107" s="193"/>
      <c r="Z107" s="193"/>
      <c r="AA107" s="195"/>
      <c r="AB107" s="193"/>
      <c r="AC107" s="193"/>
      <c r="AD107" s="195"/>
      <c r="AE107" s="193"/>
      <c r="AF107" s="195"/>
      <c r="AG107" s="193"/>
      <c r="AH107" s="197"/>
      <c r="AI107" s="193"/>
      <c r="AJ107" s="193"/>
      <c r="AK107" s="197"/>
      <c r="AL107" s="193"/>
      <c r="AM107" s="193"/>
      <c r="AN107" s="197"/>
    </row>
    <row r="108" customFormat="false" ht="13.5" hidden="false" customHeight="false" outlineLevel="0" collapsed="false">
      <c r="X108" s="193"/>
      <c r="Y108" s="193"/>
      <c r="Z108" s="193"/>
      <c r="AA108" s="195"/>
      <c r="AB108" s="193"/>
      <c r="AC108" s="193"/>
      <c r="AD108" s="195"/>
      <c r="AE108" s="193"/>
      <c r="AF108" s="195"/>
      <c r="AG108" s="193"/>
      <c r="AH108" s="197"/>
      <c r="AI108" s="193"/>
      <c r="AJ108" s="193"/>
      <c r="AK108" s="197"/>
      <c r="AL108" s="193"/>
      <c r="AM108" s="193"/>
      <c r="AN108" s="197"/>
    </row>
    <row r="109" customFormat="false" ht="13.5" hidden="false" customHeight="false" outlineLevel="0" collapsed="false">
      <c r="X109" s="193"/>
      <c r="Y109" s="193"/>
      <c r="Z109" s="193"/>
      <c r="AA109" s="195"/>
      <c r="AB109" s="193"/>
      <c r="AC109" s="193"/>
      <c r="AD109" s="195"/>
      <c r="AE109" s="193"/>
      <c r="AF109" s="195"/>
      <c r="AG109" s="193"/>
      <c r="AH109" s="197"/>
      <c r="AI109" s="193"/>
      <c r="AJ109" s="193"/>
      <c r="AK109" s="197"/>
      <c r="AL109" s="193"/>
      <c r="AM109" s="193"/>
      <c r="AN109" s="197"/>
    </row>
    <row r="110" customFormat="false" ht="13.5" hidden="false" customHeight="false" outlineLevel="0" collapsed="false">
      <c r="X110" s="193"/>
      <c r="Y110" s="193"/>
      <c r="Z110" s="193"/>
      <c r="AA110" s="195"/>
      <c r="AB110" s="193"/>
      <c r="AC110" s="193"/>
      <c r="AD110" s="195"/>
      <c r="AE110" s="193"/>
      <c r="AF110" s="195"/>
      <c r="AG110" s="193"/>
      <c r="AH110" s="197"/>
      <c r="AI110" s="193"/>
      <c r="AJ110" s="193"/>
      <c r="AK110" s="197"/>
      <c r="AL110" s="193"/>
      <c r="AM110" s="193"/>
      <c r="AN110" s="197"/>
    </row>
    <row r="111" customFormat="false" ht="13.5" hidden="false" customHeight="false" outlineLevel="0" collapsed="false">
      <c r="X111" s="193"/>
      <c r="Y111" s="193"/>
      <c r="Z111" s="193"/>
      <c r="AA111" s="195"/>
      <c r="AB111" s="193"/>
      <c r="AC111" s="193"/>
      <c r="AD111" s="195"/>
      <c r="AE111" s="193"/>
      <c r="AF111" s="195"/>
    </row>
    <row r="112" customFormat="false" ht="13.5" hidden="false" customHeight="false" outlineLevel="0" collapsed="false">
      <c r="X112" s="193"/>
      <c r="Y112" s="193"/>
      <c r="Z112" s="193"/>
      <c r="AA112" s="195"/>
      <c r="AB112" s="193"/>
      <c r="AC112" s="193"/>
      <c r="AD112" s="195"/>
      <c r="AE112" s="193"/>
      <c r="AF112" s="195"/>
    </row>
    <row r="113" customFormat="false" ht="13.5" hidden="false" customHeight="false" outlineLevel="0" collapsed="false">
      <c r="X113" s="193"/>
      <c r="Y113" s="193"/>
      <c r="Z113" s="193"/>
      <c r="AA113" s="195"/>
      <c r="AB113" s="193"/>
      <c r="AC113" s="193"/>
      <c r="AD113" s="195"/>
      <c r="AE113" s="193"/>
      <c r="AF113" s="195"/>
    </row>
  </sheetData>
  <mergeCells count="9">
    <mergeCell ref="Y4:Y5"/>
    <mergeCell ref="AB4:AB5"/>
    <mergeCell ref="AI4:AK4"/>
    <mergeCell ref="AL4:AN4"/>
    <mergeCell ref="B39:C39"/>
    <mergeCell ref="F39:F41"/>
    <mergeCell ref="G39:H39"/>
    <mergeCell ref="B40:C40"/>
    <mergeCell ref="B41:C4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M75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M3" activeCellId="0" sqref="M3"/>
    </sheetView>
  </sheetViews>
  <sheetFormatPr defaultColWidth="8.6796875" defaultRowHeight="14.25" zeroHeight="false" outlineLevelRow="0" outlineLevelCol="0"/>
  <cols>
    <col collapsed="false" customWidth="true" hidden="false" outlineLevel="0" max="3" min="3" style="0" width="10.44"/>
    <col collapsed="false" customWidth="true" hidden="false" outlineLevel="0" max="4" min="4" style="0" width="16.11"/>
    <col collapsed="false" customWidth="true" hidden="false" outlineLevel="0" max="5" min="5" style="0" width="16.56"/>
    <col collapsed="false" customWidth="true" hidden="false" outlineLevel="0" max="7" min="7" style="0" width="11.89"/>
    <col collapsed="false" customWidth="true" hidden="false" outlineLevel="0" max="8" min="8" style="0" width="14.56"/>
    <col collapsed="false" customWidth="true" hidden="false" outlineLevel="0" max="9" min="9" style="0" width="10.56"/>
    <col collapsed="false" customWidth="true" hidden="false" outlineLevel="0" max="10" min="10" style="0" width="17.56"/>
    <col collapsed="false" customWidth="true" hidden="false" outlineLevel="0" max="11" min="11" style="0" width="45.56"/>
    <col collapsed="false" customWidth="true" hidden="false" outlineLevel="0" max="12" min="12" style="0" width="29.56"/>
    <col collapsed="false" customWidth="true" hidden="false" outlineLevel="0" max="13" min="13" style="0" width="10.56"/>
  </cols>
  <sheetData>
    <row r="1" customFormat="false" ht="39" hidden="false" customHeight="false" outlineLevel="0" collapsed="false">
      <c r="A1" s="210" t="s">
        <v>154</v>
      </c>
      <c r="B1" s="211" t="s">
        <v>155</v>
      </c>
      <c r="C1" s="211" t="s">
        <v>156</v>
      </c>
      <c r="D1" s="212" t="s">
        <v>157</v>
      </c>
      <c r="E1" s="212" t="s">
        <v>158</v>
      </c>
      <c r="F1" s="212" t="s">
        <v>159</v>
      </c>
      <c r="G1" s="212" t="s">
        <v>160</v>
      </c>
      <c r="H1" s="211" t="s">
        <v>161</v>
      </c>
      <c r="I1" s="211" t="s">
        <v>162</v>
      </c>
      <c r="J1" s="211" t="s">
        <v>163</v>
      </c>
      <c r="K1" s="211" t="s">
        <v>164</v>
      </c>
      <c r="L1" s="213" t="s">
        <v>165</v>
      </c>
      <c r="M1" s="214" t="s">
        <v>166</v>
      </c>
    </row>
    <row r="2" customFormat="false" ht="14.25" hidden="false" customHeight="false" outlineLevel="0" collapsed="false">
      <c r="A2" s="210"/>
      <c r="B2" s="215"/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6"/>
    </row>
    <row r="3" customFormat="false" ht="27" hidden="false" customHeight="true" outlineLevel="0" collapsed="false">
      <c r="A3" s="217" t="n">
        <v>1</v>
      </c>
      <c r="B3" s="217" t="n">
        <v>2024</v>
      </c>
      <c r="C3" s="218" t="s">
        <v>167</v>
      </c>
      <c r="D3" s="219" t="s">
        <v>168</v>
      </c>
      <c r="E3" s="219" t="s">
        <v>169</v>
      </c>
      <c r="F3" s="217" t="s">
        <v>170</v>
      </c>
      <c r="G3" s="217" t="s">
        <v>171</v>
      </c>
      <c r="H3" s="217" t="s">
        <v>10</v>
      </c>
      <c r="I3" s="220" t="s">
        <v>172</v>
      </c>
      <c r="J3" s="220" t="s">
        <v>173</v>
      </c>
      <c r="K3" s="221" t="s">
        <v>174</v>
      </c>
      <c r="L3" s="222" t="s">
        <v>175</v>
      </c>
      <c r="M3" s="223"/>
    </row>
    <row r="4" customFormat="false" ht="14.25" hidden="false" customHeight="false" outlineLevel="0" collapsed="false">
      <c r="A4" s="224" t="n">
        <v>2</v>
      </c>
    </row>
    <row r="5" customFormat="false" ht="14.25" hidden="false" customHeight="false" outlineLevel="0" collapsed="false">
      <c r="A5" s="220" t="n">
        <v>3</v>
      </c>
      <c r="B5" s="217"/>
      <c r="C5" s="225"/>
      <c r="D5" s="219"/>
      <c r="E5" s="219"/>
      <c r="F5" s="217"/>
      <c r="G5" s="217"/>
      <c r="H5" s="217"/>
      <c r="I5" s="220"/>
      <c r="J5" s="220"/>
      <c r="K5" s="221"/>
      <c r="L5" s="217"/>
      <c r="M5" s="223"/>
    </row>
    <row r="6" customFormat="false" ht="14.25" hidden="false" customHeight="false" outlineLevel="0" collapsed="false">
      <c r="A6" s="217" t="n">
        <v>4</v>
      </c>
      <c r="B6" s="217"/>
      <c r="C6" s="225"/>
      <c r="D6" s="219"/>
      <c r="E6" s="219"/>
      <c r="F6" s="217"/>
      <c r="G6" s="217"/>
      <c r="H6" s="217"/>
      <c r="I6" s="220"/>
      <c r="J6" s="220"/>
      <c r="K6" s="221"/>
      <c r="L6" s="217"/>
      <c r="M6" s="223"/>
    </row>
    <row r="7" customFormat="false" ht="14.25" hidden="false" customHeight="false" outlineLevel="0" collapsed="false">
      <c r="A7" s="220" t="n">
        <v>5</v>
      </c>
      <c r="B7" s="225"/>
      <c r="C7" s="225"/>
      <c r="D7" s="219"/>
      <c r="E7" s="219"/>
      <c r="F7" s="217"/>
      <c r="G7" s="217"/>
      <c r="H7" s="220"/>
      <c r="I7" s="220"/>
      <c r="J7" s="220"/>
      <c r="K7" s="221"/>
      <c r="L7" s="217"/>
      <c r="M7" s="223"/>
    </row>
    <row r="8" customFormat="false" ht="14.25" hidden="false" customHeight="false" outlineLevel="0" collapsed="false">
      <c r="A8" s="220" t="n">
        <v>6</v>
      </c>
      <c r="B8" s="225"/>
      <c r="C8" s="225"/>
      <c r="D8" s="219"/>
      <c r="E8" s="219"/>
      <c r="F8" s="217"/>
      <c r="G8" s="217"/>
      <c r="H8" s="220"/>
      <c r="I8" s="220"/>
      <c r="J8" s="220"/>
      <c r="K8" s="221"/>
      <c r="L8" s="217"/>
      <c r="M8" s="223"/>
    </row>
    <row r="9" customFormat="false" ht="14.25" hidden="false" customHeight="false" outlineLevel="0" collapsed="false">
      <c r="A9" s="217" t="n">
        <v>7</v>
      </c>
      <c r="B9" s="225"/>
      <c r="C9" s="225"/>
      <c r="D9" s="219"/>
      <c r="E9" s="219"/>
      <c r="F9" s="217"/>
      <c r="G9" s="217"/>
      <c r="H9" s="220"/>
      <c r="I9" s="220"/>
      <c r="J9" s="220"/>
      <c r="K9" s="221"/>
      <c r="L9" s="217"/>
      <c r="M9" s="223"/>
    </row>
    <row r="10" customFormat="false" ht="14.25" hidden="false" customHeight="false" outlineLevel="0" collapsed="false">
      <c r="A10" s="220" t="n">
        <v>8</v>
      </c>
      <c r="B10" s="225"/>
      <c r="C10" s="225"/>
      <c r="D10" s="219"/>
      <c r="E10" s="219"/>
      <c r="F10" s="217"/>
      <c r="G10" s="217"/>
      <c r="H10" s="220"/>
      <c r="I10" s="220"/>
      <c r="J10" s="220"/>
      <c r="K10" s="221"/>
      <c r="L10" s="217"/>
      <c r="M10" s="223"/>
    </row>
    <row r="11" customFormat="false" ht="14.25" hidden="false" customHeight="false" outlineLevel="0" collapsed="false">
      <c r="A11" s="220" t="n">
        <v>9</v>
      </c>
      <c r="B11" s="225"/>
      <c r="C11" s="225"/>
      <c r="D11" s="219"/>
      <c r="E11" s="219"/>
      <c r="F11" s="217"/>
      <c r="G11" s="217"/>
      <c r="H11" s="220"/>
      <c r="I11" s="220"/>
      <c r="J11" s="220"/>
      <c r="K11" s="221"/>
      <c r="L11" s="217"/>
      <c r="M11" s="223"/>
    </row>
    <row r="12" customFormat="false" ht="14.25" hidden="false" customHeight="false" outlineLevel="0" collapsed="false">
      <c r="A12" s="217" t="n">
        <v>10</v>
      </c>
      <c r="B12" s="225"/>
      <c r="C12" s="225"/>
      <c r="D12" s="219"/>
      <c r="E12" s="219"/>
      <c r="F12" s="217"/>
      <c r="G12" s="217"/>
      <c r="H12" s="220"/>
      <c r="I12" s="220"/>
      <c r="J12" s="220"/>
      <c r="K12" s="221"/>
      <c r="L12" s="217"/>
      <c r="M12" s="223"/>
    </row>
    <row r="13" customFormat="false" ht="14.25" hidden="false" customHeight="false" outlineLevel="0" collapsed="false">
      <c r="A13" s="220" t="n">
        <v>11</v>
      </c>
      <c r="B13" s="225"/>
      <c r="C13" s="225"/>
      <c r="D13" s="219"/>
      <c r="E13" s="219"/>
      <c r="F13" s="217"/>
      <c r="G13" s="217"/>
      <c r="H13" s="220"/>
      <c r="I13" s="220"/>
      <c r="J13" s="220"/>
      <c r="K13" s="221"/>
      <c r="L13" s="217"/>
      <c r="M13" s="223"/>
    </row>
    <row r="14" customFormat="false" ht="14.25" hidden="false" customHeight="false" outlineLevel="0" collapsed="false">
      <c r="A14" s="220" t="n">
        <v>12</v>
      </c>
      <c r="B14" s="225"/>
      <c r="C14" s="225"/>
      <c r="D14" s="219"/>
      <c r="E14" s="219"/>
      <c r="F14" s="217"/>
      <c r="G14" s="217"/>
      <c r="H14" s="220"/>
      <c r="I14" s="220"/>
      <c r="J14" s="220"/>
      <c r="K14" s="221"/>
      <c r="L14" s="217"/>
      <c r="M14" s="223"/>
    </row>
    <row r="15" customFormat="false" ht="14.25" hidden="false" customHeight="false" outlineLevel="0" collapsed="false">
      <c r="A15" s="217" t="n">
        <v>13</v>
      </c>
      <c r="B15" s="225"/>
      <c r="C15" s="225"/>
      <c r="D15" s="219"/>
      <c r="E15" s="219"/>
      <c r="F15" s="217"/>
      <c r="G15" s="217"/>
      <c r="H15" s="220"/>
      <c r="I15" s="220"/>
      <c r="J15" s="220"/>
      <c r="K15" s="221"/>
      <c r="L15" s="217"/>
      <c r="M15" s="223"/>
    </row>
    <row r="16" customFormat="false" ht="14.25" hidden="false" customHeight="false" outlineLevel="0" collapsed="false">
      <c r="A16" s="220" t="n">
        <v>14</v>
      </c>
      <c r="B16" s="225"/>
      <c r="C16" s="225"/>
      <c r="D16" s="219"/>
      <c r="E16" s="219"/>
      <c r="F16" s="217"/>
      <c r="G16" s="217"/>
      <c r="H16" s="220"/>
      <c r="I16" s="220"/>
      <c r="J16" s="220"/>
      <c r="K16" s="221"/>
      <c r="L16" s="217"/>
      <c r="M16" s="223"/>
    </row>
    <row r="17" customFormat="false" ht="14.25" hidden="false" customHeight="false" outlineLevel="0" collapsed="false">
      <c r="A17" s="220" t="n">
        <v>15</v>
      </c>
      <c r="B17" s="225"/>
      <c r="C17" s="225"/>
      <c r="D17" s="219"/>
      <c r="E17" s="219"/>
      <c r="F17" s="217"/>
      <c r="G17" s="217"/>
      <c r="H17" s="220"/>
      <c r="I17" s="220"/>
      <c r="J17" s="220"/>
      <c r="K17" s="221"/>
      <c r="L17" s="217"/>
      <c r="M17" s="223"/>
    </row>
    <row r="18" customFormat="false" ht="14.25" hidden="false" customHeight="false" outlineLevel="0" collapsed="false">
      <c r="A18" s="217" t="n">
        <v>16</v>
      </c>
      <c r="B18" s="225"/>
      <c r="C18" s="225"/>
      <c r="D18" s="219"/>
      <c r="E18" s="219"/>
      <c r="F18" s="217"/>
      <c r="G18" s="217"/>
      <c r="H18" s="220"/>
      <c r="I18" s="220"/>
      <c r="J18" s="220"/>
      <c r="K18" s="221"/>
      <c r="L18" s="217"/>
      <c r="M18" s="223"/>
    </row>
    <row r="19" customFormat="false" ht="14.25" hidden="false" customHeight="false" outlineLevel="0" collapsed="false">
      <c r="A19" s="220" t="n">
        <v>17</v>
      </c>
      <c r="B19" s="225"/>
      <c r="C19" s="225"/>
      <c r="D19" s="219"/>
      <c r="E19" s="219"/>
      <c r="F19" s="217"/>
      <c r="G19" s="217"/>
      <c r="H19" s="220"/>
      <c r="I19" s="220"/>
      <c r="J19" s="220"/>
      <c r="K19" s="221"/>
      <c r="L19" s="217"/>
      <c r="M19" s="226"/>
    </row>
    <row r="20" customFormat="false" ht="14.25" hidden="false" customHeight="false" outlineLevel="0" collapsed="false">
      <c r="A20" s="220" t="n">
        <v>18</v>
      </c>
      <c r="B20" s="225"/>
      <c r="C20" s="225"/>
      <c r="D20" s="219"/>
      <c r="E20" s="219"/>
      <c r="F20" s="217"/>
      <c r="G20" s="217"/>
      <c r="H20" s="220"/>
      <c r="I20" s="220"/>
      <c r="J20" s="220"/>
      <c r="K20" s="221"/>
      <c r="L20" s="217"/>
      <c r="M20" s="223"/>
    </row>
    <row r="21" customFormat="false" ht="14.25" hidden="false" customHeight="false" outlineLevel="0" collapsed="false">
      <c r="A21" s="217" t="n">
        <v>19</v>
      </c>
      <c r="B21" s="225"/>
      <c r="C21" s="225"/>
      <c r="D21" s="219"/>
      <c r="E21" s="219"/>
      <c r="F21" s="217"/>
      <c r="G21" s="217"/>
      <c r="H21" s="220"/>
      <c r="I21" s="220"/>
      <c r="J21" s="220"/>
      <c r="K21" s="221"/>
      <c r="L21" s="217"/>
      <c r="M21" s="223"/>
    </row>
    <row r="22" customFormat="false" ht="14.25" hidden="false" customHeight="false" outlineLevel="0" collapsed="false">
      <c r="A22" s="220" t="n">
        <v>20</v>
      </c>
      <c r="B22" s="225"/>
      <c r="C22" s="225"/>
      <c r="D22" s="219"/>
      <c r="E22" s="219"/>
      <c r="F22" s="217"/>
      <c r="G22" s="217"/>
      <c r="H22" s="220"/>
      <c r="I22" s="220"/>
      <c r="J22" s="220"/>
      <c r="K22" s="221"/>
      <c r="L22" s="217"/>
      <c r="M22" s="223"/>
    </row>
    <row r="23" customFormat="false" ht="14.25" hidden="false" customHeight="false" outlineLevel="0" collapsed="false">
      <c r="A23" s="220" t="n">
        <v>21</v>
      </c>
      <c r="B23" s="225"/>
      <c r="C23" s="225"/>
      <c r="D23" s="219"/>
      <c r="E23" s="219"/>
      <c r="F23" s="217"/>
      <c r="G23" s="217"/>
      <c r="H23" s="220"/>
      <c r="I23" s="220"/>
      <c r="J23" s="220"/>
      <c r="K23" s="221"/>
      <c r="L23" s="217"/>
      <c r="M23" s="223"/>
    </row>
    <row r="24" customFormat="false" ht="14.25" hidden="false" customHeight="false" outlineLevel="0" collapsed="false">
      <c r="A24" s="217" t="n">
        <v>22</v>
      </c>
      <c r="B24" s="225"/>
      <c r="C24" s="225"/>
      <c r="D24" s="219"/>
      <c r="E24" s="219"/>
      <c r="F24" s="217"/>
      <c r="G24" s="217"/>
      <c r="H24" s="220"/>
      <c r="I24" s="220"/>
      <c r="J24" s="220"/>
      <c r="K24" s="221"/>
      <c r="L24" s="217"/>
      <c r="M24" s="223"/>
    </row>
    <row r="25" customFormat="false" ht="14.25" hidden="false" customHeight="false" outlineLevel="0" collapsed="false">
      <c r="A25" s="220" t="n">
        <v>23</v>
      </c>
      <c r="B25" s="225"/>
      <c r="C25" s="225"/>
      <c r="D25" s="219"/>
      <c r="E25" s="219"/>
      <c r="F25" s="217"/>
      <c r="G25" s="217"/>
      <c r="H25" s="220"/>
      <c r="I25" s="220"/>
      <c r="J25" s="220"/>
      <c r="K25" s="221"/>
      <c r="L25" s="217"/>
      <c r="M25" s="223"/>
    </row>
    <row r="26" customFormat="false" ht="14.25" hidden="false" customHeight="false" outlineLevel="0" collapsed="false">
      <c r="A26" s="220" t="n">
        <v>24</v>
      </c>
      <c r="B26" s="225"/>
      <c r="C26" s="225"/>
      <c r="D26" s="219"/>
      <c r="E26" s="219"/>
      <c r="F26" s="217"/>
      <c r="G26" s="217"/>
      <c r="H26" s="220"/>
      <c r="I26" s="220"/>
      <c r="J26" s="220"/>
      <c r="K26" s="227"/>
      <c r="L26" s="217"/>
      <c r="M26" s="228"/>
    </row>
    <row r="27" customFormat="false" ht="16.5" hidden="false" customHeight="true" outlineLevel="0" collapsed="false">
      <c r="A27" s="217" t="n">
        <v>25</v>
      </c>
      <c r="B27" s="225"/>
      <c r="C27" s="225"/>
      <c r="D27" s="219"/>
      <c r="E27" s="219"/>
      <c r="F27" s="217"/>
      <c r="G27" s="217"/>
      <c r="H27" s="220"/>
      <c r="I27" s="220"/>
      <c r="J27" s="220"/>
      <c r="K27" s="227"/>
      <c r="L27" s="217"/>
      <c r="M27" s="228"/>
    </row>
    <row r="28" customFormat="false" ht="14.25" hidden="false" customHeight="false" outlineLevel="0" collapsed="false">
      <c r="A28" s="220" t="n">
        <v>26</v>
      </c>
      <c r="B28" s="225"/>
      <c r="C28" s="225"/>
      <c r="D28" s="219"/>
      <c r="E28" s="219"/>
      <c r="F28" s="217"/>
      <c r="G28" s="217"/>
      <c r="H28" s="220"/>
      <c r="I28" s="220"/>
      <c r="J28" s="220"/>
      <c r="K28" s="221"/>
      <c r="L28" s="217"/>
      <c r="M28" s="228"/>
    </row>
    <row r="29" customFormat="false" ht="18.75" hidden="false" customHeight="true" outlineLevel="0" collapsed="false">
      <c r="A29" s="220" t="n">
        <v>27</v>
      </c>
      <c r="B29" s="225"/>
      <c r="C29" s="225"/>
      <c r="D29" s="219"/>
      <c r="E29" s="219"/>
      <c r="F29" s="217"/>
      <c r="G29" s="217"/>
      <c r="H29" s="220"/>
      <c r="I29" s="220"/>
      <c r="J29" s="220"/>
      <c r="K29" s="221"/>
      <c r="L29" s="217"/>
      <c r="M29" s="223"/>
    </row>
    <row r="30" customFormat="false" ht="14.25" hidden="false" customHeight="false" outlineLevel="0" collapsed="false">
      <c r="A30" s="217" t="n">
        <v>28</v>
      </c>
      <c r="B30" s="229"/>
      <c r="C30" s="230"/>
      <c r="D30" s="219"/>
      <c r="E30" s="219"/>
      <c r="F30" s="217"/>
      <c r="G30" s="217"/>
      <c r="H30" s="220"/>
      <c r="I30" s="220"/>
      <c r="J30" s="220"/>
      <c r="K30" s="221"/>
      <c r="L30" s="217"/>
      <c r="M30" s="223"/>
    </row>
    <row r="31" customFormat="false" ht="14.25" hidden="false" customHeight="false" outlineLevel="0" collapsed="false">
      <c r="A31" s="220" t="n">
        <v>29</v>
      </c>
      <c r="B31" s="229"/>
      <c r="C31" s="230"/>
      <c r="D31" s="219"/>
      <c r="E31" s="219"/>
      <c r="F31" s="217"/>
      <c r="G31" s="217"/>
      <c r="H31" s="220"/>
      <c r="I31" s="220"/>
      <c r="J31" s="220"/>
      <c r="K31" s="221"/>
      <c r="L31" s="217"/>
      <c r="M31" s="223"/>
    </row>
    <row r="32" customFormat="false" ht="14.25" hidden="false" customHeight="false" outlineLevel="0" collapsed="false">
      <c r="A32" s="220" t="n">
        <v>30</v>
      </c>
      <c r="B32" s="229"/>
      <c r="C32" s="230"/>
      <c r="D32" s="219"/>
      <c r="E32" s="219"/>
      <c r="F32" s="217"/>
      <c r="G32" s="217"/>
      <c r="H32" s="220"/>
      <c r="I32" s="220"/>
      <c r="J32" s="220"/>
      <c r="K32" s="221"/>
      <c r="L32" s="217"/>
      <c r="M32" s="223"/>
    </row>
    <row r="33" customFormat="false" ht="14.25" hidden="false" customHeight="false" outlineLevel="0" collapsed="false">
      <c r="A33" s="217" t="n">
        <v>31</v>
      </c>
      <c r="B33" s="229"/>
      <c r="C33" s="230"/>
      <c r="D33" s="219"/>
      <c r="E33" s="219"/>
      <c r="F33" s="217"/>
      <c r="G33" s="217"/>
      <c r="H33" s="220"/>
      <c r="I33" s="220"/>
      <c r="J33" s="220"/>
      <c r="K33" s="221"/>
      <c r="L33" s="217"/>
      <c r="M33" s="231"/>
    </row>
    <row r="34" customFormat="false" ht="14.25" hidden="false" customHeight="false" outlineLevel="0" collapsed="false">
      <c r="A34" s="220" t="n">
        <v>32</v>
      </c>
      <c r="B34" s="229"/>
      <c r="C34" s="230"/>
      <c r="D34" s="219"/>
      <c r="E34" s="219"/>
      <c r="F34" s="217"/>
      <c r="G34" s="217"/>
      <c r="H34" s="220"/>
      <c r="I34" s="220"/>
      <c r="J34" s="220"/>
      <c r="K34" s="221"/>
      <c r="L34" s="217"/>
      <c r="M34" s="231"/>
    </row>
    <row r="35" customFormat="false" ht="14.25" hidden="false" customHeight="false" outlineLevel="0" collapsed="false">
      <c r="A35" s="220" t="n">
        <v>33</v>
      </c>
      <c r="B35" s="229"/>
      <c r="C35" s="230"/>
      <c r="D35" s="219"/>
      <c r="E35" s="219"/>
      <c r="F35" s="217"/>
      <c r="G35" s="217"/>
      <c r="H35" s="220"/>
      <c r="I35" s="220"/>
      <c r="J35" s="220"/>
      <c r="K35" s="221"/>
      <c r="L35" s="217"/>
      <c r="M35" s="231"/>
    </row>
    <row r="36" customFormat="false" ht="14.25" hidden="false" customHeight="false" outlineLevel="0" collapsed="false">
      <c r="A36" s="217" t="n">
        <v>34</v>
      </c>
      <c r="B36" s="229"/>
      <c r="C36" s="230"/>
      <c r="D36" s="219"/>
      <c r="E36" s="219"/>
      <c r="F36" s="217"/>
      <c r="G36" s="217"/>
      <c r="H36" s="220"/>
      <c r="I36" s="220"/>
      <c r="J36" s="220"/>
      <c r="K36" s="221"/>
      <c r="L36" s="217"/>
      <c r="M36" s="231"/>
    </row>
    <row r="37" customFormat="false" ht="14.25" hidden="false" customHeight="false" outlineLevel="0" collapsed="false">
      <c r="A37" s="220" t="n">
        <v>35</v>
      </c>
      <c r="B37" s="229"/>
      <c r="C37" s="230"/>
      <c r="D37" s="219"/>
      <c r="E37" s="219"/>
      <c r="F37" s="217"/>
      <c r="G37" s="217"/>
      <c r="H37" s="220"/>
      <c r="I37" s="220"/>
      <c r="J37" s="220"/>
      <c r="K37" s="221"/>
      <c r="L37" s="217"/>
      <c r="M37" s="231"/>
    </row>
    <row r="38" customFormat="false" ht="14.25" hidden="false" customHeight="false" outlineLevel="0" collapsed="false">
      <c r="A38" s="220" t="n">
        <v>36</v>
      </c>
      <c r="B38" s="229"/>
      <c r="C38" s="230"/>
      <c r="D38" s="219"/>
      <c r="E38" s="219"/>
      <c r="F38" s="217"/>
      <c r="G38" s="217"/>
      <c r="H38" s="220"/>
      <c r="I38" s="220"/>
      <c r="J38" s="220"/>
      <c r="K38" s="221"/>
      <c r="L38" s="217"/>
      <c r="M38" s="231"/>
    </row>
    <row r="39" customFormat="false" ht="14.25" hidden="false" customHeight="false" outlineLevel="0" collapsed="false">
      <c r="A39" s="217" t="n">
        <v>37</v>
      </c>
      <c r="B39" s="229"/>
      <c r="C39" s="230"/>
      <c r="D39" s="219"/>
      <c r="E39" s="219"/>
      <c r="F39" s="217"/>
      <c r="G39" s="217"/>
      <c r="H39" s="220"/>
      <c r="I39" s="220"/>
      <c r="J39" s="220"/>
      <c r="K39" s="221"/>
      <c r="L39" s="217"/>
      <c r="M39" s="231"/>
    </row>
    <row r="40" customFormat="false" ht="14.25" hidden="false" customHeight="false" outlineLevel="0" collapsed="false">
      <c r="A40" s="220" t="n">
        <v>38</v>
      </c>
      <c r="B40" s="229"/>
      <c r="C40" s="230"/>
      <c r="D40" s="219"/>
      <c r="E40" s="219"/>
      <c r="F40" s="217"/>
      <c r="G40" s="217"/>
      <c r="H40" s="220"/>
      <c r="I40" s="220"/>
      <c r="J40" s="220"/>
      <c r="K40" s="221"/>
      <c r="L40" s="217"/>
      <c r="M40" s="231"/>
    </row>
    <row r="41" customFormat="false" ht="14.25" hidden="false" customHeight="false" outlineLevel="0" collapsed="false">
      <c r="A41" s="220" t="n">
        <v>39</v>
      </c>
      <c r="B41" s="229"/>
      <c r="C41" s="230"/>
      <c r="D41" s="219"/>
      <c r="E41" s="219"/>
      <c r="F41" s="217"/>
      <c r="G41" s="217"/>
      <c r="H41" s="220"/>
      <c r="I41" s="220"/>
      <c r="J41" s="220"/>
      <c r="K41" s="221"/>
      <c r="L41" s="217"/>
      <c r="M41" s="232"/>
    </row>
    <row r="42" customFormat="false" ht="14.25" hidden="false" customHeight="false" outlineLevel="0" collapsed="false">
      <c r="A42" s="217" t="n">
        <v>40</v>
      </c>
      <c r="B42" s="229"/>
      <c r="C42" s="230"/>
      <c r="D42" s="219"/>
      <c r="E42" s="219"/>
      <c r="F42" s="217"/>
      <c r="G42" s="217"/>
      <c r="H42" s="220"/>
      <c r="I42" s="220"/>
      <c r="J42" s="220"/>
      <c r="K42" s="221"/>
      <c r="L42" s="217"/>
      <c r="M42" s="232"/>
    </row>
    <row r="43" customFormat="false" ht="14.25" hidden="false" customHeight="false" outlineLevel="0" collapsed="false">
      <c r="A43" s="220" t="n">
        <v>41</v>
      </c>
      <c r="B43" s="229"/>
      <c r="C43" s="230"/>
      <c r="D43" s="219"/>
      <c r="E43" s="219"/>
      <c r="F43" s="217"/>
      <c r="G43" s="217"/>
      <c r="H43" s="220"/>
      <c r="I43" s="220"/>
      <c r="J43" s="220"/>
      <c r="K43" s="221"/>
      <c r="L43" s="217"/>
      <c r="M43" s="231"/>
    </row>
    <row r="44" customFormat="false" ht="14.25" hidden="false" customHeight="false" outlineLevel="0" collapsed="false">
      <c r="A44" s="220" t="n">
        <v>42</v>
      </c>
      <c r="B44" s="229"/>
      <c r="C44" s="230"/>
      <c r="D44" s="219"/>
      <c r="E44" s="219"/>
      <c r="F44" s="217"/>
      <c r="G44" s="217"/>
      <c r="H44" s="220"/>
      <c r="I44" s="220"/>
      <c r="J44" s="220"/>
      <c r="K44" s="221"/>
      <c r="L44" s="217"/>
      <c r="M44" s="231"/>
    </row>
    <row r="45" customFormat="false" ht="14.25" hidden="false" customHeight="false" outlineLevel="0" collapsed="false">
      <c r="A45" s="217" t="n">
        <v>43</v>
      </c>
      <c r="B45" s="229"/>
      <c r="C45" s="230"/>
      <c r="D45" s="219"/>
      <c r="E45" s="219"/>
      <c r="F45" s="217"/>
      <c r="G45" s="217"/>
      <c r="H45" s="220"/>
      <c r="I45" s="220"/>
      <c r="J45" s="220"/>
      <c r="K45" s="221"/>
      <c r="L45" s="217"/>
      <c r="M45" s="231"/>
    </row>
    <row r="46" customFormat="false" ht="14.25" hidden="false" customHeight="false" outlineLevel="0" collapsed="false">
      <c r="A46" s="220" t="n">
        <v>44</v>
      </c>
      <c r="B46" s="220"/>
      <c r="C46" s="230"/>
      <c r="D46" s="219"/>
      <c r="E46" s="219"/>
      <c r="F46" s="217"/>
      <c r="G46" s="217"/>
      <c r="H46" s="220"/>
      <c r="I46" s="220"/>
      <c r="J46" s="220"/>
      <c r="K46" s="221"/>
      <c r="L46" s="217"/>
      <c r="M46" s="231"/>
    </row>
    <row r="47" customFormat="false" ht="14.25" hidden="false" customHeight="false" outlineLevel="0" collapsed="false">
      <c r="A47" s="233"/>
      <c r="B47" s="234"/>
      <c r="C47" s="235"/>
      <c r="D47" s="236"/>
      <c r="E47" s="236"/>
      <c r="F47" s="237"/>
      <c r="G47" s="237"/>
      <c r="H47" s="237"/>
      <c r="I47" s="237"/>
      <c r="J47" s="233"/>
      <c r="K47" s="224"/>
      <c r="L47" s="238" t="s">
        <v>176</v>
      </c>
      <c r="M47" s="239" t="n">
        <f aca="false">SUM(M3:M43)</f>
        <v>0</v>
      </c>
    </row>
    <row r="48" customFormat="false" ht="14.25" hidden="false" customHeight="false" outlineLevel="0" collapsed="false">
      <c r="A48" s="233"/>
      <c r="B48" s="234"/>
      <c r="C48" s="235"/>
      <c r="D48" s="236"/>
      <c r="E48" s="236"/>
      <c r="F48" s="237"/>
      <c r="G48" s="237"/>
      <c r="H48" s="237"/>
      <c r="I48" s="237"/>
      <c r="J48" s="233"/>
      <c r="K48" s="224"/>
      <c r="L48" s="240"/>
      <c r="M48" s="241"/>
    </row>
    <row r="49" customFormat="false" ht="14.25" hidden="false" customHeight="false" outlineLevel="0" collapsed="false">
      <c r="K49" s="242" t="s">
        <v>177</v>
      </c>
      <c r="L49" s="242"/>
      <c r="M49" s="242"/>
    </row>
    <row r="50" customFormat="false" ht="14.25" hidden="false" customHeight="false" outlineLevel="0" collapsed="false">
      <c r="K50" s="243" t="s">
        <v>178</v>
      </c>
      <c r="L50" s="244" t="s">
        <v>179</v>
      </c>
      <c r="M50" s="245" t="n">
        <f aca="false">SUMIFS($M$3:$M$46,$J$3:$J$46,L50)</f>
        <v>0</v>
      </c>
    </row>
    <row r="51" customFormat="false" ht="14.25" hidden="false" customHeight="false" outlineLevel="0" collapsed="false">
      <c r="K51" s="243"/>
      <c r="L51" s="244" t="s">
        <v>180</v>
      </c>
      <c r="M51" s="245" t="n">
        <f aca="false">SUMIFS($M$3:$M$46,$J$3:$J$46,L51)</f>
        <v>0</v>
      </c>
    </row>
    <row r="52" customFormat="false" ht="14.25" hidden="false" customHeight="false" outlineLevel="0" collapsed="false">
      <c r="K52" s="243"/>
      <c r="L52" s="244" t="s">
        <v>181</v>
      </c>
      <c r="M52" s="245" t="n">
        <f aca="false">SUMIFS($M$3:$M$46,$J$3:$J$46,L52)</f>
        <v>0</v>
      </c>
    </row>
    <row r="53" customFormat="false" ht="14.25" hidden="false" customHeight="false" outlineLevel="0" collapsed="false">
      <c r="K53" s="243"/>
      <c r="L53" s="244" t="s">
        <v>182</v>
      </c>
      <c r="M53" s="245" t="n">
        <f aca="false">SUMIFS($M$3:$M$46,$J$3:$J$46,L53)</f>
        <v>0</v>
      </c>
    </row>
    <row r="54" customFormat="false" ht="14.25" hidden="false" customHeight="false" outlineLevel="0" collapsed="false">
      <c r="K54" s="243"/>
      <c r="L54" s="244" t="s">
        <v>173</v>
      </c>
      <c r="M54" s="245" t="n">
        <f aca="false">SUMIFS($M$3:$M$46,$J$3:$J$46,L54)</f>
        <v>0</v>
      </c>
    </row>
    <row r="55" customFormat="false" ht="14.25" hidden="false" customHeight="false" outlineLevel="0" collapsed="false">
      <c r="K55" s="243"/>
      <c r="L55" s="246" t="s">
        <v>183</v>
      </c>
      <c r="M55" s="245" t="n">
        <f aca="false">SUMIFS($M$3:$M$46,$J$3:$J$46,L55)</f>
        <v>0</v>
      </c>
    </row>
    <row r="56" customFormat="false" ht="14.25" hidden="false" customHeight="false" outlineLevel="0" collapsed="false">
      <c r="K56" s="243"/>
      <c r="L56" s="244" t="s">
        <v>184</v>
      </c>
      <c r="M56" s="245" t="n">
        <f aca="false">SUMIFS($M$3:$M$46,$J$3:$J$46,L56)</f>
        <v>0</v>
      </c>
    </row>
    <row r="57" customFormat="false" ht="14.25" hidden="false" customHeight="false" outlineLevel="0" collapsed="false">
      <c r="K57" s="243"/>
      <c r="L57" s="244" t="s">
        <v>185</v>
      </c>
      <c r="M57" s="245" t="n">
        <f aca="false">SUMIFS($M$3:$M$46,$J$3:$J$46,L57)</f>
        <v>0</v>
      </c>
    </row>
    <row r="58" customFormat="false" ht="14.25" hidden="false" customHeight="false" outlineLevel="0" collapsed="false">
      <c r="K58" s="243"/>
      <c r="L58" s="244" t="s">
        <v>186</v>
      </c>
      <c r="M58" s="245" t="n">
        <f aca="false">SUMIFS($M$3:$M$46,$J$3:$J$46,L58)</f>
        <v>0</v>
      </c>
    </row>
    <row r="59" customFormat="false" ht="14.25" hidden="false" customHeight="false" outlineLevel="0" collapsed="false">
      <c r="L59" s="244" t="s">
        <v>187</v>
      </c>
      <c r="M59" s="245" t="n">
        <f aca="false">SUM(M50:M58)</f>
        <v>0</v>
      </c>
    </row>
    <row r="61" customFormat="false" ht="14.25" hidden="false" customHeight="false" outlineLevel="0" collapsed="false">
      <c r="K61" s="210" t="s">
        <v>188</v>
      </c>
      <c r="L61" s="210"/>
      <c r="M61" s="210"/>
    </row>
    <row r="62" customFormat="false" ht="14.25" hidden="false" customHeight="true" outlineLevel="0" collapsed="false">
      <c r="K62" s="247" t="s">
        <v>189</v>
      </c>
      <c r="L62" s="248" t="s">
        <v>190</v>
      </c>
      <c r="M62" s="245" t="n">
        <f aca="false">SUMIFS($M$3:$M$46,$L$3:$L$46,L62)</f>
        <v>0</v>
      </c>
    </row>
    <row r="63" customFormat="false" ht="14.25" hidden="false" customHeight="false" outlineLevel="0" collapsed="false">
      <c r="K63" s="247"/>
      <c r="L63" s="248" t="s">
        <v>191</v>
      </c>
      <c r="M63" s="245" t="n">
        <f aca="false">SUMIFS($M$3:$M$46,$L$3:$L$46,L63)</f>
        <v>0</v>
      </c>
    </row>
    <row r="64" customFormat="false" ht="14.25" hidden="false" customHeight="false" outlineLevel="0" collapsed="false">
      <c r="K64" s="247"/>
      <c r="L64" s="248" t="s">
        <v>175</v>
      </c>
      <c r="M64" s="245" t="n">
        <f aca="false">SUMIFS($M$3:$M$46,$L$3:$L$46,L64)</f>
        <v>0</v>
      </c>
    </row>
    <row r="65" customFormat="false" ht="14.25" hidden="false" customHeight="false" outlineLevel="0" collapsed="false">
      <c r="K65" s="247"/>
      <c r="L65" s="248" t="s">
        <v>192</v>
      </c>
      <c r="M65" s="245" t="n">
        <f aca="false">SUMIFS($M$3:$M$46,$L$3:$L$46,L65)</f>
        <v>0</v>
      </c>
    </row>
    <row r="66" customFormat="false" ht="14.25" hidden="false" customHeight="false" outlineLevel="0" collapsed="false">
      <c r="K66" s="247"/>
      <c r="L66" s="248" t="s">
        <v>193</v>
      </c>
      <c r="M66" s="245" t="n">
        <f aca="false">SUMIFS($M$3:$M$46,$L$3:$L$46,L66)</f>
        <v>0</v>
      </c>
    </row>
    <row r="67" customFormat="false" ht="14.25" hidden="false" customHeight="false" outlineLevel="0" collapsed="false">
      <c r="K67" s="247"/>
      <c r="L67" s="248" t="s">
        <v>194</v>
      </c>
      <c r="M67" s="245" t="n">
        <f aca="false">SUMIFS($M$3:$M$46,$L$3:$L$46,L67)</f>
        <v>0</v>
      </c>
    </row>
    <row r="68" customFormat="false" ht="14.25" hidden="false" customHeight="false" outlineLevel="0" collapsed="false">
      <c r="K68" s="247"/>
      <c r="L68" s="248" t="s">
        <v>195</v>
      </c>
      <c r="M68" s="245" t="n">
        <f aca="false">SUMIFS($M$3:$M$46,$L$3:$L$46,L68)</f>
        <v>0</v>
      </c>
    </row>
    <row r="69" customFormat="false" ht="14.25" hidden="false" customHeight="false" outlineLevel="0" collapsed="false">
      <c r="K69" s="247"/>
      <c r="L69" s="248" t="s">
        <v>196</v>
      </c>
      <c r="M69" s="245" t="n">
        <f aca="false">SUMIFS($M$3:$M$46,$L$3:$L$46,L69)</f>
        <v>0</v>
      </c>
    </row>
    <row r="70" customFormat="false" ht="14.25" hidden="false" customHeight="false" outlineLevel="0" collapsed="false">
      <c r="K70" s="247"/>
      <c r="L70" s="248" t="s">
        <v>197</v>
      </c>
      <c r="M70" s="245" t="n">
        <f aca="false">SUMIFS($M$3:$M$46,$L$3:$L$46,L70)</f>
        <v>0</v>
      </c>
    </row>
    <row r="71" customFormat="false" ht="14.25" hidden="false" customHeight="false" outlineLevel="0" collapsed="false">
      <c r="K71" s="247"/>
      <c r="L71" s="248" t="s">
        <v>198</v>
      </c>
      <c r="M71" s="245" t="n">
        <f aca="false">SUMIFS($M$3:$M$46,$L$3:$L$46,L71)</f>
        <v>0</v>
      </c>
    </row>
    <row r="72" customFormat="false" ht="14.25" hidden="false" customHeight="false" outlineLevel="0" collapsed="false">
      <c r="K72" s="247"/>
      <c r="L72" s="248" t="s">
        <v>199</v>
      </c>
      <c r="M72" s="245" t="n">
        <f aca="false">SUMIFS($M$3:$M$46,$L$3:$L$46,L72)</f>
        <v>0</v>
      </c>
    </row>
    <row r="73" customFormat="false" ht="14.25" hidden="false" customHeight="false" outlineLevel="0" collapsed="false">
      <c r="K73" s="247"/>
      <c r="L73" s="248" t="s">
        <v>200</v>
      </c>
      <c r="M73" s="245" t="n">
        <f aca="false">SUMIFS($M$3:$M$46,$L$3:$L$46,L73)</f>
        <v>0</v>
      </c>
    </row>
    <row r="74" customFormat="false" ht="14.25" hidden="false" customHeight="false" outlineLevel="0" collapsed="false">
      <c r="K74" s="247"/>
      <c r="L74" s="248" t="s">
        <v>201</v>
      </c>
      <c r="M74" s="245" t="n">
        <f aca="false">SUMIFS($M$3:$M$46,$L$3:$L$46,L74)</f>
        <v>0</v>
      </c>
    </row>
    <row r="75" customFormat="false" ht="14.25" hidden="false" customHeight="false" outlineLevel="0" collapsed="false">
      <c r="L75" s="244" t="s">
        <v>187</v>
      </c>
      <c r="M75" s="245" t="n">
        <f aca="false">SUM(M62:M74)</f>
        <v>0</v>
      </c>
    </row>
  </sheetData>
  <mergeCells count="4">
    <mergeCell ref="K49:M49"/>
    <mergeCell ref="K50:K58"/>
    <mergeCell ref="K61:M61"/>
    <mergeCell ref="K62:K74"/>
  </mergeCells>
  <dataValidations count="4">
    <dataValidation allowBlank="true" error="не соотвествует классификации в СРБ" errorStyle="warning" errorTitle="не соотвествует классификации" operator="between" promptTitle="выбери из списка" showDropDown="false" showErrorMessage="true" showInputMessage="true" sqref="J46" type="list">
      <formula1>$L$50:$L$56</formula1>
      <formula2>0</formula2>
    </dataValidation>
    <dataValidation allowBlank="true" error="не соотвествует классификации в СРБ" errorStyle="warning" errorTitle="не соотвествует классификации" operator="between" promptTitle="выбери из списка" showDropDown="false" showErrorMessage="true" showInputMessage="true" sqref="J47:J48" type="list">
      <formula1>#ref!</formula1>
      <formula2>0</formula2>
    </dataValidation>
    <dataValidation allowBlank="true" error="выбрать из выпадающего списка ПО " errorStyle="stop" errorTitle="ответственная сторона за НПВ" operator="between" promptTitle="Выбрать из выпадающего списка" showDropDown="false" showErrorMessage="true" showInputMessage="true" sqref="L5:L46" type="list">
      <formula1>$L$62:$L$74</formula1>
      <formula2>0</formula2>
    </dataValidation>
    <dataValidation allowBlank="true" error="не соотвествует классификации в СРБ" errorStyle="warning" errorTitle="не соотвествует классификации" operator="between" promptTitle="выбери из списка" showDropDown="false" showErrorMessage="true" showInputMessage="true" sqref="J3 J5:J45" type="list">
      <formula1>$L$50:$L$58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LibreOffice/7.6.0.3$Windows_X86_64 LibreOffice_project/69edd8b8ebc41d00b4de3915dc82f8f0fc3b6265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Professional</dc:creator>
  <dc:description/>
  <dc:language>ru-RU</dc:language>
  <cp:lastModifiedBy/>
  <cp:lastPrinted>2024-07-11T11:16:26Z</cp:lastPrinted>
  <dcterms:modified xsi:type="dcterms:W3CDTF">2024-08-07T14:49:31Z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