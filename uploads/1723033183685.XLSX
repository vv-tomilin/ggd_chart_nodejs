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лубина-день" sheetId="1" state="visible" r:id="rId3"/>
    <sheet name="Для Печати" sheetId="2" state="hidden" r:id="rId4"/>
    <sheet name="Графики" sheetId="3" state="visible" r:id="rId5"/>
    <sheet name="реестр НПВ" sheetId="4" state="visible" r:id="rId6"/>
    <sheet name="Нормы" sheetId="5" state="visible" r:id="rId7"/>
  </sheets>
  <definedNames>
    <definedName function="false" hidden="false" localSheetId="0" name="_xlnm.Print_Area" vbProcedure="false">'Глубина-день'!$A$1:$S$90</definedName>
    <definedName function="false" hidden="false" localSheetId="2" name="_xlnm.Print_Area" vbProcedure="false">Графики!$A$1:$T$39</definedName>
    <definedName function="false" hidden="false" localSheetId="1" name="_xlnm.Print_Area" vbProcedure="false">'Для Печати'!$A$1:$O$87</definedName>
    <definedName function="false" hidden="false" localSheetId="4" name="_xlnm.Print_Area" vbProcedure="false">Нормы!$A$1:$D$33</definedName>
    <definedName function="false" hidden="true" localSheetId="3" name="_xlnm._FilterDatabase" vbProcedure="false">'реестр НПВ'!$A$2:$M$2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J1" authorId="0">
      <text>
        <r>
          <rPr>
            <sz val="10"/>
            <rFont val="Arial"/>
            <family val="2"/>
            <charset val="204"/>
          </rPr>
          <t xml:space="preserve">выбирается из выпадающего списка</t>
        </r>
      </text>
    </comment>
    <comment ref="M9" authorId="0">
      <text>
        <r>
          <rPr>
            <sz val="10"/>
            <rFont val="Arial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на 24:00 20.01.2024г.</t>
        </r>
      </text>
    </comment>
  </commentList>
</comments>
</file>

<file path=xl/sharedStrings.xml><?xml version="1.0" encoding="utf-8"?>
<sst xmlns="http://schemas.openxmlformats.org/spreadsheetml/2006/main" count="385" uniqueCount="244">
  <si>
    <t xml:space="preserve">Сетевой график "Глубина-день"</t>
  </si>
  <si>
    <t xml:space="preserve">Определение</t>
  </si>
  <si>
    <t xml:space="preserve">Конструкция скважины</t>
  </si>
  <si>
    <t xml:space="preserve">Начальные и прогнозные параметры</t>
  </si>
  <si>
    <t xml:space="preserve">Компания</t>
  </si>
  <si>
    <t xml:space="preserve">ООО "Газпромнефть-Хантос"</t>
  </si>
  <si>
    <t xml:space="preserve">Проект</t>
  </si>
  <si>
    <t xml:space="preserve">Забой</t>
  </si>
  <si>
    <t xml:space="preserve">Начало бурения</t>
  </si>
  <si>
    <t xml:space="preserve">Месторождение</t>
  </si>
  <si>
    <t xml:space="preserve">Южно-Приобское</t>
  </si>
  <si>
    <t xml:space="preserve">Секция</t>
  </si>
  <si>
    <t xml:space="preserve">План</t>
  </si>
  <si>
    <t xml:space="preserve">Факт</t>
  </si>
  <si>
    <t xml:space="preserve">св, шт</t>
  </si>
  <si>
    <t xml:space="preserve">ОК, шт</t>
  </si>
  <si>
    <t xml:space="preserve">План окончания бурения</t>
  </si>
  <si>
    <t xml:space="preserve">Кустовая площадка</t>
  </si>
  <si>
    <t xml:space="preserve">112А.1</t>
  </si>
  <si>
    <t xml:space="preserve">Факт/прогноз</t>
  </si>
  <si>
    <t xml:space="preserve">Скважина №</t>
  </si>
  <si>
    <t xml:space="preserve">БП</t>
  </si>
  <si>
    <t xml:space="preserve">Тип скважины</t>
  </si>
  <si>
    <t xml:space="preserve">ГС</t>
  </si>
  <si>
    <t xml:space="preserve">План, сут*</t>
  </si>
  <si>
    <t xml:space="preserve">Руководитель направления</t>
  </si>
  <si>
    <t xml:space="preserve">Тырин Владимир Олегович</t>
  </si>
  <si>
    <t xml:space="preserve">Факт/прогноз, сут</t>
  </si>
  <si>
    <t xml:space="preserve">БП, сут</t>
  </si>
  <si>
    <t xml:space="preserve">ПС, сут</t>
  </si>
  <si>
    <t xml:space="preserve">Длина ГС</t>
  </si>
  <si>
    <t xml:space="preserve">Скорость бурения,
сут/1000м</t>
  </si>
  <si>
    <t xml:space="preserve">ГС, сут/1000 м</t>
  </si>
  <si>
    <t xml:space="preserve">Пилот №1/точка срезки/Длина</t>
  </si>
  <si>
    <t xml:space="preserve">Факт+Прогноз</t>
  </si>
  <si>
    <t xml:space="preserve">Пилот №2/точка срезки/Длина</t>
  </si>
  <si>
    <t xml:space="preserve">Проходка</t>
  </si>
  <si>
    <t xml:space="preserve">Отклон.от ЦО для бонуса, сут.</t>
  </si>
  <si>
    <t xml:space="preserve">Индекс сложности</t>
  </si>
  <si>
    <t xml:space="preserve">Прогноз % времени на ТО БУ</t>
  </si>
  <si>
    <t xml:space="preserve">Зимний коэффициент</t>
  </si>
  <si>
    <t xml:space="preserve">*Плановое время учитывает 5% времени на ТО БУ</t>
  </si>
  <si>
    <t xml:space="preserve">Операции</t>
  </si>
  <si>
    <t xml:space="preserve">Мероприятия</t>
  </si>
  <si>
    <t xml:space="preserve">#</t>
  </si>
  <si>
    <t xml:space="preserve">Описание</t>
  </si>
  <si>
    <t xml:space="preserve">ОК</t>
  </si>
  <si>
    <t xml:space="preserve">Интервал</t>
  </si>
  <si>
    <t xml:space="preserve">Забой, м</t>
  </si>
  <si>
    <t xml:space="preserve">Время</t>
  </si>
  <si>
    <t xml:space="preserve">Окончание</t>
  </si>
  <si>
    <t xml:space="preserve">Время
Факт, ч</t>
  </si>
  <si>
    <t xml:space="preserve">НПВ, ч</t>
  </si>
  <si>
    <t xml:space="preserve">Откл</t>
  </si>
  <si>
    <t xml:space="preserve">Примечание</t>
  </si>
  <si>
    <t xml:space="preserve">от</t>
  </si>
  <si>
    <t xml:space="preserve">до</t>
  </si>
  <si>
    <t xml:space="preserve">Факт/Прогноз</t>
  </si>
  <si>
    <t xml:space="preserve">КНБК</t>
  </si>
  <si>
    <t xml:space="preserve">Сборка роторной КНБК</t>
  </si>
  <si>
    <t xml:space="preserve">Бурение</t>
  </si>
  <si>
    <t xml:space="preserve">Бурение под направление</t>
  </si>
  <si>
    <t xml:space="preserve">Шаблонирование / проработка</t>
  </si>
  <si>
    <t xml:space="preserve">Шаблонировка пробуренного интервала + промывка на забое+ подъем КНБК</t>
  </si>
  <si>
    <t xml:space="preserve">Разборка КНБК</t>
  </si>
  <si>
    <t xml:space="preserve">Подготовительные работы</t>
  </si>
  <si>
    <t xml:space="preserve">ПР к спуску направления 324мм</t>
  </si>
  <si>
    <t xml:space="preserve">Крепление</t>
  </si>
  <si>
    <t xml:space="preserve">Спуск направления 324мм</t>
  </si>
  <si>
    <t xml:space="preserve">Циркуляция и Обработка БР</t>
  </si>
  <si>
    <t xml:space="preserve">Промывка перед цементажем</t>
  </si>
  <si>
    <t xml:space="preserve">Цементаж направления 324мм</t>
  </si>
  <si>
    <t xml:space="preserve">БК-79м. ЦКОД-78,20м.</t>
  </si>
  <si>
    <t xml:space="preserve">ОЗЦ</t>
  </si>
  <si>
    <t xml:space="preserve">ОЗЦ. Оборудование устья. Сборка СБТ-127мм (1500м)</t>
  </si>
  <si>
    <t xml:space="preserve">ч</t>
  </si>
  <si>
    <t xml:space="preserve">СПО</t>
  </si>
  <si>
    <t xml:space="preserve">Сборка БИ (1500м) с установкой на подсвечник</t>
  </si>
  <si>
    <t xml:space="preserve">Сборка КНБК для бурения</t>
  </si>
  <si>
    <t xml:space="preserve">Cпуск КНБК со сборкой БИ с мостков</t>
  </si>
  <si>
    <t xml:space="preserve">м/ч
бур</t>
  </si>
  <si>
    <t xml:space="preserve">Разбурка оснастки (ЦКОД, цем.стакан, БК), замена раствора</t>
  </si>
  <si>
    <t xml:space="preserve">Н</t>
  </si>
  <si>
    <t xml:space="preserve">П</t>
  </si>
  <si>
    <t xml:space="preserve">Ф</t>
  </si>
  <si>
    <t xml:space="preserve">св</t>
  </si>
  <si>
    <t xml:space="preserve">наращ</t>
  </si>
  <si>
    <t xml:space="preserve">замер</t>
  </si>
  <si>
    <t xml:space="preserve">ориент</t>
  </si>
  <si>
    <t xml:space="preserve">Прор</t>
  </si>
  <si>
    <t xml:space="preserve">пром</t>
  </si>
  <si>
    <t xml:space="preserve">сум бур</t>
  </si>
  <si>
    <t xml:space="preserve">Вспомогательные работы</t>
  </si>
  <si>
    <t xml:space="preserve">Чистка ЦСГО</t>
  </si>
  <si>
    <t xml:space="preserve">Бурение под кондуктор (наращивание с мостков)</t>
  </si>
  <si>
    <t xml:space="preserve">НПВ №1 Ремонт.Замена опорной втулки на БН№1 (1,75ч).</t>
  </si>
  <si>
    <t xml:space="preserve">Промывка на забое, продувка</t>
  </si>
  <si>
    <t xml:space="preserve">Шаблонирование подъём КНБК </t>
  </si>
  <si>
    <t xml:space="preserve">Шаблонирование спуск КНБК </t>
  </si>
  <si>
    <t xml:space="preserve">Промывка на забое,продувка</t>
  </si>
  <si>
    <t xml:space="preserve">Подъём КНБК </t>
  </si>
  <si>
    <t xml:space="preserve">Разборка КНБК с телесистемой</t>
  </si>
  <si>
    <t xml:space="preserve">ПЗР к спуску ОК 245мм</t>
  </si>
  <si>
    <t xml:space="preserve">Спуск ОК 245мм с промежуточными промывками</t>
  </si>
  <si>
    <t xml:space="preserve">Цементаж кондуктора 245мм</t>
  </si>
  <si>
    <t xml:space="preserve">БК-1498,54м. ЦКОД-1486,37м.</t>
  </si>
  <si>
    <t xml:space="preserve">Монтаж ОУС,Вывоз БР</t>
  </si>
  <si>
    <t xml:space="preserve">Монтаж ПВО, монтаж разрезной воронки и устьевого желоба</t>
  </si>
  <si>
    <t xml:space="preserve">Опрессовка глухих плашек ППГ, БГ, БД, выкидных линий, крестовины с коренными задвижками, приготовление бур.раствора, сборка БИ (350 м)</t>
  </si>
  <si>
    <t xml:space="preserve">п.68. Перетяжка талевого каната - 6ч.</t>
  </si>
  <si>
    <t xml:space="preserve">Сборка КНБК на бурение транспортного ствола</t>
  </si>
  <si>
    <t xml:space="preserve">Спуск КНБК  со сборкой БИ с приемных мостков с промежуточными промывками</t>
  </si>
  <si>
    <t xml:space="preserve">Опрессовка трубных плашек, ПУГ</t>
  </si>
  <si>
    <t xml:space="preserve">Разбурка БК, ЦКОДа и цем.стакана</t>
  </si>
  <si>
    <t xml:space="preserve">Перевод скважины на новый раствор,</t>
  </si>
  <si>
    <t xml:space="preserve">сум</t>
  </si>
  <si>
    <t xml:space="preserve">v ср</t>
  </si>
  <si>
    <t xml:space="preserve">Бурение транспортного ствола (прокачка укрепляющих пачек ч/з каждые 150-200м) </t>
  </si>
  <si>
    <t xml:space="preserve">НПВ №2 ООО ВМУ Ремонт насоса, замена опорной втулки гидравлика №3; №2. - 5,0ч.. 
НПВ № 3 ООО ВМУ Ремонт БН№1, замена корпуса цилиндра втулки - 9,0ч.
НПВ №4 Незапланированное СПО. Обработка БР. - 13,5ч.
НПВ №5 ООО "ВМУ" Ремонт пневмосистемы питания ШПМ 1070м. Замена ШПМ 1070м. -6,0ч
НПВ №6 ООО "ВМУ" Ремонт БН. Замена клапа поршня, опорной втулки. -1,5ч.
НПВ №7 ООО "ВМУ" Ремонт. Промыв соединения монифольдной линии 8,0ч.
НПВ №8 ООО ВМУ Ремонт БН. Замена малой гидрокоробки - 4,0ч
НПВ №9 ООО ВМУ Ремонт БН. Замена опорной втулки - 3,50ч.
НПВ №10 ООО ВМУ Ремонт. Замена РВД длиной 4м на манифольдной линии в ЕБ. (Промытие РВД по телу) 3,75ч.
</t>
  </si>
  <si>
    <t xml:space="preserve">Промывка на забое, прокачка кольмат. Пачки, продувка</t>
  </si>
  <si>
    <t xml:space="preserve">Подъем КНБК шаблонировка ствола скважины</t>
  </si>
  <si>
    <t xml:space="preserve">НПВ №11 ООО "ВМУ". Ремонт. Поиск и устранение утечки воздуха пневматической системы ШПМ-1070 - 1,25ч.</t>
  </si>
  <si>
    <t xml:space="preserve">Спуск КНБК шаблонировка ствола скважины</t>
  </si>
  <si>
    <t xml:space="preserve">Промывка на забое, установка смазывающей пачки</t>
  </si>
  <si>
    <t xml:space="preserve">Подъем КНБК</t>
  </si>
  <si>
    <t xml:space="preserve">Разборка КНБК с т/с</t>
  </si>
  <si>
    <t xml:space="preserve">ПЗР к спуску ОК-178мм.</t>
  </si>
  <si>
    <t xml:space="preserve">Спуск ОК 178 мм с промежуточными промывками</t>
  </si>
  <si>
    <t xml:space="preserve">Промывка перед цементированием ОК-178мм</t>
  </si>
  <si>
    <t xml:space="preserve">Цементирование ОК-178мм</t>
  </si>
  <si>
    <t xml:space="preserve">ПВО/Вспомогательные работы</t>
  </si>
  <si>
    <t xml:space="preserve">Демонтаж ПВО/Чистка емкостей, вывоз БР, заготовка БР. выброс БИ</t>
  </si>
  <si>
    <t xml:space="preserve">НПВ №12 ООО ВМУ Ремонт.Замена 2-х задвижек высокого давления на гребенке манифольдной линии ВЛБ-6,0ч</t>
  </si>
  <si>
    <t xml:space="preserve">Монтаж ПВО повторный (смена плашек ПВО), ЗБР, чистка емкостей, вывоз БР,</t>
  </si>
  <si>
    <t xml:space="preserve">Опрессовка/Вспомогательные работы</t>
  </si>
  <si>
    <t xml:space="preserve">Опрессовка ПВО, (глухие)  / Сборка БИ-102 (1250м) с мостков.Установка на подсвечник. Заготовка БР</t>
  </si>
  <si>
    <r>
      <rPr>
        <sz val="11"/>
        <color theme="1"/>
        <rFont val="Times New Roman"/>
        <family val="1"/>
        <charset val="204"/>
      </rPr>
      <t xml:space="preserve">Опрессовка глухих плашек ПВО на 95атм БР-1,44
</t>
    </r>
    <r>
      <rPr>
        <sz val="11"/>
        <color rgb="FFFF0000"/>
        <rFont val="Times New Roman"/>
        <family val="1"/>
        <charset val="204"/>
      </rPr>
      <t xml:space="preserve">НПВ №13 ООО ВМУ Ремонт. Замена рабочего переводника и тормозных колодок ЛБУ-3,0ч</t>
    </r>
  </si>
  <si>
    <t xml:space="preserve">Перетяжка талевого каната</t>
  </si>
  <si>
    <t xml:space="preserve">Опрессовка</t>
  </si>
  <si>
    <t xml:space="preserve">Опрессовка трубных плашек, ПУГ.</t>
  </si>
  <si>
    <t xml:space="preserve">Опрессовка трубных плашек и ПУГ на 95 атм БР-1,44</t>
  </si>
  <si>
    <t xml:space="preserve">Сборка КНБК для бурения горизонтального участка скважины</t>
  </si>
  <si>
    <t xml:space="preserve">Спуск КНБК со сборкой БИ с приемных мостков, с промежуточными промывками.</t>
  </si>
  <si>
    <t xml:space="preserve">УТЗ ГНВП-0,5ч</t>
  </si>
  <si>
    <t xml:space="preserve">Промвака перезапись ГК.</t>
  </si>
  <si>
    <t xml:space="preserve">Разбурка БК, ЦКОДа и цем.стакана, Перевод скважины на новый раствор </t>
  </si>
  <si>
    <t xml:space="preserve">Бурение горизонтального участка скважины (прокачка укрепляющих пачек ч/з каждые 100м)</t>
  </si>
  <si>
    <t xml:space="preserve">Промывка на забое</t>
  </si>
  <si>
    <t xml:space="preserve">Подъем КНБК в БК ТК, Сборка недостающего кол-ва ТБТ под спуск хвостовика (кол-во по согласованию с ЦУСС).</t>
  </si>
  <si>
    <t xml:space="preserve">Проработка в 2 этапа:
1 этап - прямая принудительная проработка;
2 этап - имитация спуска хвостовика - интервалы по согл с ЦУСС</t>
  </si>
  <si>
    <t xml:space="preserve">Промывка, прокачка ВУС</t>
  </si>
  <si>
    <t xml:space="preserve">ПР к спуску хвостовика</t>
  </si>
  <si>
    <t xml:space="preserve">Сборка хвостовика 114мм (согласно схемы)</t>
  </si>
  <si>
    <t xml:space="preserve">Спуск хвостовика 114мм на БИ</t>
  </si>
  <si>
    <t xml:space="preserve">Промывка</t>
  </si>
  <si>
    <t xml:space="preserve">Активация подвески. Перевод на жидкость заканчивания.</t>
  </si>
  <si>
    <t xml:space="preserve">Подъем БИ с выбросом на мостки</t>
  </si>
  <si>
    <t xml:space="preserve">ПВО</t>
  </si>
  <si>
    <t xml:space="preserve">Демонтаж ПВО </t>
  </si>
  <si>
    <t xml:space="preserve">Заключительные работы</t>
  </si>
  <si>
    <t xml:space="preserve">Монтаж, опрессовка ФА</t>
  </si>
  <si>
    <t xml:space="preserve">ТО БО</t>
  </si>
  <si>
    <t xml:space="preserve"> 5% времени на ТО БУ</t>
  </si>
  <si>
    <t xml:space="preserve">остаток 5% времени на ТО БУ</t>
  </si>
  <si>
    <t xml:space="preserve">Итого, сут.:</t>
  </si>
  <si>
    <t xml:space="preserve">ЭЦН низ</t>
  </si>
  <si>
    <t xml:space="preserve">Супервайзер АО "НИПЦ ГНТ"</t>
  </si>
  <si>
    <t xml:space="preserve">Дата начала бурения</t>
  </si>
  <si>
    <t xml:space="preserve">Инт. 1</t>
  </si>
  <si>
    <t xml:space="preserve">Инт. 2</t>
  </si>
  <si>
    <t xml:space="preserve">Дата окончания</t>
  </si>
  <si>
    <t xml:space="preserve">РГ</t>
  </si>
  <si>
    <t xml:space="preserve">БнБ</t>
  </si>
  <si>
    <t xml:space="preserve">Время
Факт</t>
  </si>
  <si>
    <t xml:space="preserve">Прогноз окончания бурения</t>
  </si>
  <si>
    <t xml:space="preserve">Отклон.от плана, сут.</t>
  </si>
  <si>
    <t xml:space="preserve">Дата Бур.Подр.</t>
  </si>
  <si>
    <t xml:space="preserve">Суммарное</t>
  </si>
  <si>
    <t xml:space="preserve">№ НПВ</t>
  </si>
  <si>
    <t xml:space="preserve">Год</t>
  </si>
  <si>
    <t xml:space="preserve">Месяц</t>
  </si>
  <si>
    <t xml:space="preserve">Дата начала НПВ</t>
  </si>
  <si>
    <t xml:space="preserve">Дата окончания НПВ</t>
  </si>
  <si>
    <t xml:space="preserve">№ скв</t>
  </si>
  <si>
    <t xml:space="preserve">№ куста</t>
  </si>
  <si>
    <t xml:space="preserve">М-е</t>
  </si>
  <si>
    <t xml:space="preserve">Вид НПВ</t>
  </si>
  <si>
    <t xml:space="preserve">Классификация</t>
  </si>
  <si>
    <t xml:space="preserve">Расшифровка НПВ</t>
  </si>
  <si>
    <t xml:space="preserve">Виновная сторона</t>
  </si>
  <si>
    <t xml:space="preserve">НПВ, Простой, час</t>
  </si>
  <si>
    <t xml:space="preserve">Общее НПВ по скв</t>
  </si>
  <si>
    <t xml:space="preserve">Распределение НПВ по типам</t>
  </si>
  <si>
    <t xml:space="preserve">распределение НПВ по типам</t>
  </si>
  <si>
    <t xml:space="preserve">Аварии</t>
  </si>
  <si>
    <t xml:space="preserve">Осложнения</t>
  </si>
  <si>
    <t xml:space="preserve">Геологические осложнения</t>
  </si>
  <si>
    <t xml:space="preserve">Ликв.брака</t>
  </si>
  <si>
    <t xml:space="preserve">Простои</t>
  </si>
  <si>
    <t xml:space="preserve">Простои
метео</t>
  </si>
  <si>
    <t xml:space="preserve">Ремонт ББ</t>
  </si>
  <si>
    <t xml:space="preserve">НПВ 1</t>
  </si>
  <si>
    <t xml:space="preserve">НПВ 2</t>
  </si>
  <si>
    <t xml:space="preserve">итого</t>
  </si>
  <si>
    <t xml:space="preserve">Распределение НПВ по ПО</t>
  </si>
  <si>
    <t xml:space="preserve">распределение НПВ по ПО (можно менять нименования)</t>
  </si>
  <si>
    <t xml:space="preserve">ООО "ЮСК"</t>
  </si>
  <si>
    <t xml:space="preserve">НФ ООО "БКЕ"</t>
  </si>
  <si>
    <t xml:space="preserve">ООО  "ССР"</t>
  </si>
  <si>
    <t xml:space="preserve">ООО "НПП "Буринтех"</t>
  </si>
  <si>
    <t xml:space="preserve">ООО "Бренд Фактор"</t>
  </si>
  <si>
    <t xml:space="preserve">ООО "НОРД-СЕРВИС"</t>
  </si>
  <si>
    <t xml:space="preserve">ООО "Зенит-Сервис"</t>
  </si>
  <si>
    <t xml:space="preserve">ПО 1</t>
  </si>
  <si>
    <t xml:space="preserve">ПО 2</t>
  </si>
  <si>
    <t xml:space="preserve">ПО 3</t>
  </si>
  <si>
    <t xml:space="preserve">ПО 4</t>
  </si>
  <si>
    <t xml:space="preserve">ГПНХ</t>
  </si>
  <si>
    <t xml:space="preserve">Вид операции</t>
  </si>
  <si>
    <t xml:space="preserve">нормы</t>
  </si>
  <si>
    <t xml:space="preserve">опрессовка плашек, ПУГ</t>
  </si>
  <si>
    <t xml:space="preserve">Спуск 324 мм направления одной трубы</t>
  </si>
  <si>
    <t xml:space="preserve">Спуск  инструмента (одной свечи), БУ 2900/200 ЭПКБМ-3, БУ 3000 ЭУК-1М, грузоподъемность 200 т, ВСП </t>
  </si>
  <si>
    <t xml:space="preserve">Вывод из-за пальца, наворот, спуск свечи,  подъем пустого блока.</t>
  </si>
  <si>
    <t xml:space="preserve">Спуск  инструмента (одной свечи), БУ 2900/200 ЭПКБМ-3, БУ 3000 ЭУК-1М, грузоподъемность 200 т, без ВСП </t>
  </si>
  <si>
    <t xml:space="preserve">Спуск 245 мм кондуктора (одной трубы)</t>
  </si>
  <si>
    <t xml:space="preserve">Подъем инструмента (одной свечи), БУ 2900/200 ЭПКБМ-3, БУ 3000 ЭУК-1М, грузоподъемность 200 т, ВСП </t>
  </si>
  <si>
    <t xml:space="preserve">Подъем свечи, отворот, установка за палец, спуск пустого блока.</t>
  </si>
  <si>
    <t xml:space="preserve">Подъем инструмента (одной свечи), БУ 2900/200 ЭПКБМ-3, БУ 3000 ЭУК-1М, грузоподъемность 200 т, без ВСП </t>
  </si>
  <si>
    <t xml:space="preserve">Сборка АМАК, АМК-Горизонт</t>
  </si>
  <si>
    <t xml:space="preserve">Спуск , подъем с записью АМАК, АМК-Горизонт</t>
  </si>
  <si>
    <t xml:space="preserve">На 100м. </t>
  </si>
  <si>
    <t xml:space="preserve">Разборка АМАК, АМК-Горизонт, считывание данных</t>
  </si>
  <si>
    <t xml:space="preserve">Разборка и выброс 127 и 147 мм инструмента на мостки при подъеме 1 трубка </t>
  </si>
  <si>
    <t xml:space="preserve">При выбросе инструмента на мостки из-за пальца учитывать время на спуск свечи ниже стола ротора по нормам спуска.</t>
  </si>
  <si>
    <t xml:space="preserve">Разборка и выброс 102 мм инструмента на мостки при подъеме 1 трубка</t>
  </si>
  <si>
    <t xml:space="preserve">Разборка и выброс 89 мм инструмента на мостки при подъеме 1 трубка</t>
  </si>
  <si>
    <t xml:space="preserve">Спуск 146 мм, 168 мм ,178 мм эксплуатационной колонны, 1 труба</t>
  </si>
  <si>
    <t xml:space="preserve">Сборка и спуск 114 мм хвостовика, 1 труба</t>
  </si>
  <si>
    <t xml:space="preserve">Спуск хвостовика на транспортной колонне рассчитывается как спуск инструмента.</t>
  </si>
  <si>
    <t xml:space="preserve">Сборка с мостков и спуск 127 и 147  мм инструмента  (1 трубы)</t>
  </si>
  <si>
    <t xml:space="preserve">В случае применения нового комплекта БИ или БИ после проведения ремонта применяется дополнительно 0,04ч. для приработки БИ. </t>
  </si>
  <si>
    <t xml:space="preserve">Сборка с мостков и спуск 102 мм инструмента (1 трубы)</t>
  </si>
  <si>
    <t xml:space="preserve">Сборка с мостков и спуск 89 мм инструмента  (1 трубы)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</si>
</sst>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\ _₽_-;\-* #,##0.00\ _₽_-;_-* \-??\ _₽_-;_-@_-"/>
    <numFmt numFmtId="166" formatCode="dd/mm/yyyy\ h:mm"/>
    <numFmt numFmtId="167" formatCode="dd/mm/yy\ h:mm;@"/>
    <numFmt numFmtId="168" formatCode="0"/>
    <numFmt numFmtId="169" formatCode="0.00"/>
    <numFmt numFmtId="170" formatCode="0%"/>
    <numFmt numFmtId="171" formatCode="0.00%"/>
    <numFmt numFmtId="172" formatCode="General"/>
    <numFmt numFmtId="173" formatCode="dd/mm/yyyy"/>
    <numFmt numFmtId="174" formatCode="0.0"/>
    <numFmt numFmtId="175" formatCode="@"/>
  </numFmts>
  <fonts count="5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10"/>
      <color theme="3"/>
      <name val="Times New Roman"/>
      <family val="1"/>
      <charset val="204"/>
    </font>
    <font>
      <b val="true"/>
      <sz val="12"/>
      <color theme="1"/>
      <name val="Times New Roman"/>
      <family val="1"/>
      <charset val="204"/>
    </font>
    <font>
      <b val="true"/>
      <sz val="10"/>
      <color theme="1"/>
      <name val="Times New Roman"/>
      <family val="1"/>
      <charset val="204"/>
    </font>
    <font>
      <b val="true"/>
      <sz val="10"/>
      <color theme="4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 val="true"/>
      <i val="true"/>
      <sz val="10"/>
      <color theme="1"/>
      <name val="Times New Roman"/>
      <family val="1"/>
      <charset val="204"/>
    </font>
    <font>
      <i val="true"/>
      <sz val="10"/>
      <color theme="3"/>
      <name val="Times New Roman"/>
      <family val="1"/>
      <charset val="204"/>
    </font>
    <font>
      <b val="true"/>
      <sz val="11"/>
      <color theme="1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Arial Narrow"/>
      <family val="2"/>
      <charset val="204"/>
    </font>
    <font>
      <b val="true"/>
      <sz val="16"/>
      <color theme="1"/>
      <name val="Arial Narrow"/>
      <family val="2"/>
      <charset val="204"/>
    </font>
    <font>
      <b val="true"/>
      <sz val="11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  <font>
      <b val="true"/>
      <sz val="12"/>
      <color theme="1"/>
      <name val="Arial Narrow"/>
      <family val="2"/>
      <charset val="204"/>
    </font>
    <font>
      <sz val="9"/>
      <color theme="1"/>
      <name val="Arial Narrow"/>
      <family val="2"/>
      <charset val="204"/>
    </font>
    <font>
      <b val="true"/>
      <sz val="10.5"/>
      <color rgb="FF000000"/>
      <name val="Arial"/>
      <family val="0"/>
      <charset val="204"/>
    </font>
    <font>
      <sz val="10.5"/>
      <color rgb="FF000000"/>
      <name val="Arial"/>
      <family val="0"/>
      <charset val="204"/>
    </font>
    <font>
      <sz val="11"/>
      <color theme="1"/>
      <name val="DIN Pro Cond Bold"/>
      <family val="2"/>
      <charset val="204"/>
    </font>
    <font>
      <b val="true"/>
      <sz val="10"/>
      <color theme="1"/>
      <name val="Arial Narrow"/>
      <family val="2"/>
      <charset val="204"/>
    </font>
    <font>
      <sz val="12"/>
      <name val="Arial Narrow"/>
      <family val="2"/>
      <charset val="204"/>
    </font>
    <font>
      <b val="true"/>
      <sz val="16"/>
      <color rgb="FF595959"/>
      <name val="Arial Narrow"/>
      <family val="2"/>
    </font>
    <font>
      <sz val="9"/>
      <color rgb="FF595959"/>
      <name val="Arial Narrow"/>
      <family val="2"/>
    </font>
    <font>
      <b val="true"/>
      <sz val="10"/>
      <name val="Arial Cyr"/>
      <family val="0"/>
      <charset val="204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Calibri"/>
      <family val="2"/>
      <charset val="204"/>
    </font>
    <font>
      <sz val="11"/>
      <name val="Calibri"/>
      <family val="2"/>
      <charset val="1"/>
    </font>
    <font>
      <sz val="10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0"/>
      <color theme="1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9"/>
      <color rgb="FF000000"/>
      <name val="Tahoma"/>
      <family val="2"/>
      <charset val="204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E7FAFD"/>
      </patternFill>
    </fill>
    <fill>
      <patternFill patternType="solid">
        <fgColor rgb="FFE7FAFD"/>
        <bgColor rgb="FFDBEEF4"/>
      </patternFill>
    </fill>
    <fill>
      <patternFill patternType="solid">
        <fgColor rgb="FFDAEEF3"/>
        <bgColor rgb="FFDBEEF4"/>
      </patternFill>
    </fill>
    <fill>
      <patternFill patternType="solid">
        <fgColor rgb="FF00FF00"/>
        <bgColor rgb="FF00B050"/>
      </patternFill>
    </fill>
    <fill>
      <patternFill patternType="solid">
        <fgColor theme="8" tint="0.7999"/>
        <bgColor rgb="FFDAEEF3"/>
      </patternFill>
    </fill>
    <fill>
      <patternFill patternType="solid">
        <fgColor rgb="FFEFF1DB"/>
        <bgColor rgb="FFEBF1DE"/>
      </patternFill>
    </fill>
    <fill>
      <patternFill patternType="solid">
        <fgColor theme="6" tint="0.7999"/>
        <bgColor rgb="FFEFF1DB"/>
      </patternFill>
    </fill>
    <fill>
      <patternFill patternType="solid">
        <fgColor theme="7" tint="0.7999"/>
        <bgColor rgb="FFD9D9D9"/>
      </patternFill>
    </fill>
    <fill>
      <patternFill patternType="solid">
        <fgColor theme="2" tint="-0.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EFF1DB"/>
      </patternFill>
    </fill>
    <fill>
      <patternFill patternType="solid">
        <fgColor rgb="FF00B050"/>
        <bgColor rgb="FF008080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hair"/>
      <top style="medium"/>
      <bottom style="thin"/>
      <diagonal/>
    </border>
    <border diagonalUp="false" diagonalDown="false">
      <left style="hair"/>
      <right style="thin"/>
      <top style="medium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7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" fillId="7" borderId="1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2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9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9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5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1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5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9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1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1" borderId="1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11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3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7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3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8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4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5" fillId="4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4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3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4" fillId="0" borderId="3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4" fillId="0" borderId="3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6" fillId="0" borderId="3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4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4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1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1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34" fillId="1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3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9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3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5" fillId="2" borderId="1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2" borderId="1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8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as 44 2 17 2 2" xfId="20"/>
    <cellStyle name="Обычный 46" xfId="21"/>
  </cellStyles>
  <dxfs count="19">
    <dxf>
      <fill>
        <patternFill patternType="solid">
          <fgColor rgb="FFE6E0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FF1DB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BEEF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DDD9C3"/>
          <bgColor rgb="FF000000"/>
        </patternFill>
      </fill>
    </dxf>
    <dxf>
      <font>
        <color rgb="FF00B050"/>
      </font>
    </dxf>
    <dxf>
      <font>
        <color rgb="FFFF0000"/>
      </font>
    </dxf>
    <dxf>
      <font>
        <b val="1"/>
        <i val="0"/>
        <color rgb="FF00B050"/>
      </font>
    </dxf>
    <dxf>
      <font>
        <b val="1"/>
        <i val="0"/>
        <strike val="0"/>
        <color rgb="FFFF000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F7530"/>
      <rgbColor rgb="FF800080"/>
      <rgbColor rgb="FF276A7C"/>
      <rgbColor rgb="FFDDD9C3"/>
      <rgbColor rgb="FF4F81BD"/>
      <rgbColor rgb="FF9999FF"/>
      <rgbColor rgb="FFC0504D"/>
      <rgbColor rgb="FFEFF1DB"/>
      <rgbColor rgb="FFE7FA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EF3"/>
      <rgbColor rgb="FFDBEEF4"/>
      <rgbColor rgb="FFFFFF99"/>
      <rgbColor rgb="FFE6E0EC"/>
      <rgbColor rgb="FFEBF1DE"/>
      <rgbColor rgb="FFCC99FF"/>
      <rgbColor rgb="FFFFC7CE"/>
      <rgbColor rgb="FF3366FF"/>
      <rgbColor rgb="FF4BACC6"/>
      <rgbColor rgb="FF9BBB59"/>
      <rgbColor rgb="FFFFCC00"/>
      <rgbColor rgb="FFF79646"/>
      <rgbColor rgb="FFB65708"/>
      <rgbColor rgb="FF8064A2"/>
      <rgbColor rgb="FF729ACA"/>
      <rgbColor rgb="FF2C4D75"/>
      <rgbColor rgb="FF00B050"/>
      <rgbColor rgb="FF003300"/>
      <rgbColor rgb="FF4D3B62"/>
      <rgbColor rgb="FF772C2A"/>
      <rgbColor rgb="FF595959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600" spc="117" strike="noStrike">
                <a:solidFill>
                  <a:srgbClr val="595959"/>
                </a:solidFill>
                <a:latin typeface="Arial Narrow"/>
              </a:defRPr>
            </a:pPr>
            <a:r>
              <a:rPr b="1" lang="ru-RU" sz="1600" spc="117" strike="noStrike">
                <a:solidFill>
                  <a:srgbClr val="595959"/>
                </a:solidFill>
                <a:latin typeface="Arial Narrow"/>
              </a:rPr>
              <a:t>Сетевой график "глубина-день"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7731782780326"/>
          <c:y val="0.0714617888699426"/>
          <c:w val="0.921903339379068"/>
          <c:h val="0.827726967395236"/>
        </c:manualLayout>
      </c:layout>
      <c:scatterChart>
        <c:scatterStyle val="line"/>
        <c:varyColors val="0"/>
        <c:ser>
          <c:idx val="0"/>
          <c:order val="0"/>
          <c:tx>
            <c:strRef>
              <c:f>Графики!$AC$7</c:f>
              <c:strCache>
                <c:ptCount val="1"/>
                <c:pt idx="0">
                  <c:v>Факт/прогноз, сут</c:v>
                </c:pt>
              </c:strCache>
            </c:strRef>
          </c:tx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Графики!$AD$9:$AD$113</c:f>
              <c:numCache>
                <c:formatCode>General</c:formatCode>
                <c:ptCount val="105"/>
                <c:pt idx="0">
                  <c:v>0.0208333333333333</c:v>
                </c:pt>
                <c:pt idx="1">
                  <c:v>0.104166666666667</c:v>
                </c:pt>
                <c:pt idx="2">
                  <c:v>0.145833333333333</c:v>
                </c:pt>
                <c:pt idx="3">
                  <c:v>0.166666666666667</c:v>
                </c:pt>
                <c:pt idx="4">
                  <c:v>0.208333333333333</c:v>
                </c:pt>
                <c:pt idx="5">
                  <c:v>0.291666666666667</c:v>
                </c:pt>
                <c:pt idx="6">
                  <c:v>0.3125</c:v>
                </c:pt>
                <c:pt idx="7">
                  <c:v>0.375</c:v>
                </c:pt>
                <c:pt idx="8">
                  <c:v>0.708333333333333</c:v>
                </c:pt>
                <c:pt idx="9">
                  <c:v>1.08333333333333</c:v>
                </c:pt>
                <c:pt idx="10">
                  <c:v>1.1875</c:v>
                </c:pt>
                <c:pt idx="11">
                  <c:v>1.19791666666667</c:v>
                </c:pt>
                <c:pt idx="12">
                  <c:v>1.23958333333333</c:v>
                </c:pt>
                <c:pt idx="13">
                  <c:v>1.26041666666667</c:v>
                </c:pt>
                <c:pt idx="14">
                  <c:v>3.13541666666667</c:v>
                </c:pt>
                <c:pt idx="15">
                  <c:v>3.21875</c:v>
                </c:pt>
                <c:pt idx="16">
                  <c:v>3.55208333333333</c:v>
                </c:pt>
                <c:pt idx="17">
                  <c:v>3.79166666666667</c:v>
                </c:pt>
                <c:pt idx="18">
                  <c:v>3.875</c:v>
                </c:pt>
                <c:pt idx="19">
                  <c:v>4.0625</c:v>
                </c:pt>
                <c:pt idx="20">
                  <c:v>4.1875</c:v>
                </c:pt>
                <c:pt idx="21">
                  <c:v>4.20833333333333</c:v>
                </c:pt>
                <c:pt idx="22">
                  <c:v>4.66666666666667</c:v>
                </c:pt>
                <c:pt idx="23">
                  <c:v>4.75</c:v>
                </c:pt>
                <c:pt idx="24">
                  <c:v>4.875</c:v>
                </c:pt>
                <c:pt idx="25">
                  <c:v>4.95833333333333</c:v>
                </c:pt>
                <c:pt idx="26">
                  <c:v>5.20833333333333</c:v>
                </c:pt>
                <c:pt idx="27">
                  <c:v>5.54166666666667</c:v>
                </c:pt>
                <c:pt idx="28">
                  <c:v>5.66666666666667</c:v>
                </c:pt>
                <c:pt idx="29">
                  <c:v>6.16666666666667</c:v>
                </c:pt>
                <c:pt idx="30">
                  <c:v>6.22916666666667</c:v>
                </c:pt>
                <c:pt idx="31">
                  <c:v>6.33333333333333</c:v>
                </c:pt>
                <c:pt idx="32">
                  <c:v>6.375</c:v>
                </c:pt>
                <c:pt idx="33">
                  <c:v>6.41666666666667</c:v>
                </c:pt>
                <c:pt idx="34">
                  <c:v>12.0104166666667</c:v>
                </c:pt>
                <c:pt idx="35">
                  <c:v>12.1354166666667</c:v>
                </c:pt>
                <c:pt idx="36">
                  <c:v>12.5</c:v>
                </c:pt>
                <c:pt idx="37">
                  <c:v>12.8125</c:v>
                </c:pt>
                <c:pt idx="38">
                  <c:v>12.9375</c:v>
                </c:pt>
                <c:pt idx="39">
                  <c:v>13.3125</c:v>
                </c:pt>
                <c:pt idx="40">
                  <c:v>13.4166666666667</c:v>
                </c:pt>
                <c:pt idx="41">
                  <c:v>13.4583333333333</c:v>
                </c:pt>
                <c:pt idx="42">
                  <c:v>14.25</c:v>
                </c:pt>
                <c:pt idx="43">
                  <c:v>14.375</c:v>
                </c:pt>
                <c:pt idx="44">
                  <c:v>14.5</c:v>
                </c:pt>
                <c:pt idx="45">
                  <c:v>15.8333333333333</c:v>
                </c:pt>
                <c:pt idx="46">
                  <c:v>16.0833333333333</c:v>
                </c:pt>
                <c:pt idx="47">
                  <c:v>16.7083333333333</c:v>
                </c:pt>
                <c:pt idx="48">
                  <c:v>16.7083333333333</c:v>
                </c:pt>
                <c:pt idx="49">
                  <c:v>16.75</c:v>
                </c:pt>
                <c:pt idx="50">
                  <c:v>16.9166666666667</c:v>
                </c:pt>
                <c:pt idx="51">
                  <c:v>17.6458333333333</c:v>
                </c:pt>
                <c:pt idx="52">
                  <c:v>17.7291666666667</c:v>
                </c:pt>
                <c:pt idx="53">
                  <c:v>17.8125</c:v>
                </c:pt>
                <c:pt idx="54">
                  <c:v>21.7916666666667</c:v>
                </c:pt>
                <c:pt idx="55">
                  <c:v>21.7916666666667</c:v>
                </c:pt>
                <c:pt idx="56">
                  <c:v>21.7916666666667</c:v>
                </c:pt>
                <c:pt idx="57">
                  <c:v>21.7916666666667</c:v>
                </c:pt>
                <c:pt idx="58">
                  <c:v>21.7916666666667</c:v>
                </c:pt>
                <c:pt idx="59">
                  <c:v>21.7916666666667</c:v>
                </c:pt>
                <c:pt idx="60">
                  <c:v>21.7916666666667</c:v>
                </c:pt>
                <c:pt idx="61">
                  <c:v>21.7916666666667</c:v>
                </c:pt>
                <c:pt idx="62">
                  <c:v>21.7916666666667</c:v>
                </c:pt>
                <c:pt idx="63">
                  <c:v>21.7916666666667</c:v>
                </c:pt>
                <c:pt idx="64">
                  <c:v>21.7916666666667</c:v>
                </c:pt>
                <c:pt idx="65">
                  <c:v>21.7916666666667</c:v>
                </c:pt>
                <c:pt idx="66">
                  <c:v>21.7916666666667</c:v>
                </c:pt>
                <c:pt idx="67">
                  <c:v>21.7916666666667</c:v>
                </c:pt>
                <c:pt idx="68">
                  <c:v>21.7916666666667</c:v>
                </c:pt>
                <c:pt idx="69">
                  <c:v>21.7916666666667</c:v>
                </c:pt>
              </c:numCache>
            </c:numRef>
          </c:xVal>
          <c:yVal>
            <c:numRef>
              <c:f>Графики!$AB$9:$AB$113</c:f>
              <c:numCache>
                <c:formatCode>General</c:formatCode>
                <c:ptCount val="105"/>
                <c:pt idx="0">
                  <c:v>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3286</c:v>
                </c:pt>
                <c:pt idx="35">
                  <c:v>3286</c:v>
                </c:pt>
                <c:pt idx="36">
                  <c:v>3286</c:v>
                </c:pt>
                <c:pt idx="37">
                  <c:v>3286</c:v>
                </c:pt>
                <c:pt idx="38">
                  <c:v>3286</c:v>
                </c:pt>
                <c:pt idx="39">
                  <c:v>3286</c:v>
                </c:pt>
                <c:pt idx="40">
                  <c:v>3286</c:v>
                </c:pt>
                <c:pt idx="41">
                  <c:v>3286</c:v>
                </c:pt>
                <c:pt idx="42">
                  <c:v>3286</c:v>
                </c:pt>
                <c:pt idx="43">
                  <c:v>3286</c:v>
                </c:pt>
                <c:pt idx="44">
                  <c:v>3286</c:v>
                </c:pt>
                <c:pt idx="45">
                  <c:v>3286</c:v>
                </c:pt>
                <c:pt idx="46">
                  <c:v>3286</c:v>
                </c:pt>
                <c:pt idx="47">
                  <c:v>3286</c:v>
                </c:pt>
                <c:pt idx="48">
                  <c:v>3286</c:v>
                </c:pt>
                <c:pt idx="49">
                  <c:v>3286</c:v>
                </c:pt>
                <c:pt idx="50">
                  <c:v>3286</c:v>
                </c:pt>
                <c:pt idx="51">
                  <c:v>3286</c:v>
                </c:pt>
                <c:pt idx="52">
                  <c:v>3286</c:v>
                </c:pt>
                <c:pt idx="53">
                  <c:v>3286</c:v>
                </c:pt>
                <c:pt idx="54">
                  <c:v>4212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Графики!$Z$7</c:f>
              <c:strCache>
                <c:ptCount val="1"/>
                <c:pt idx="0">
                  <c:v>План, сут*</c:v>
                </c:pt>
              </c:strCache>
            </c:strRef>
          </c:tx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Графики!$AA$9:$AA$113</c:f>
              <c:numCache>
                <c:formatCode>General</c:formatCode>
                <c:ptCount val="105"/>
                <c:pt idx="0">
                  <c:v>0.0208333333333333</c:v>
                </c:pt>
                <c:pt idx="1">
                  <c:v>0.104166666666667</c:v>
                </c:pt>
                <c:pt idx="2">
                  <c:v>0.145833333333333</c:v>
                </c:pt>
                <c:pt idx="3">
                  <c:v>0.166666666666667</c:v>
                </c:pt>
                <c:pt idx="4">
                  <c:v>0.208333333333333</c:v>
                </c:pt>
                <c:pt idx="5">
                  <c:v>0.291666666666667</c:v>
                </c:pt>
                <c:pt idx="6">
                  <c:v>0.3125</c:v>
                </c:pt>
                <c:pt idx="7">
                  <c:v>0.375</c:v>
                </c:pt>
                <c:pt idx="8">
                  <c:v>0.708333333333333</c:v>
                </c:pt>
                <c:pt idx="9">
                  <c:v>1.20833333333333</c:v>
                </c:pt>
                <c:pt idx="10">
                  <c:v>1.33333333333333</c:v>
                </c:pt>
                <c:pt idx="11">
                  <c:v>1.35416666666667</c:v>
                </c:pt>
                <c:pt idx="12">
                  <c:v>1.39583333333333</c:v>
                </c:pt>
                <c:pt idx="13">
                  <c:v>1.4375</c:v>
                </c:pt>
                <c:pt idx="14">
                  <c:v>3.3125</c:v>
                </c:pt>
                <c:pt idx="15">
                  <c:v>3.39583333333333</c:v>
                </c:pt>
                <c:pt idx="16">
                  <c:v>3.72916666666667</c:v>
                </c:pt>
                <c:pt idx="17">
                  <c:v>4.02083333333333</c:v>
                </c:pt>
                <c:pt idx="18">
                  <c:v>4.10416666666667</c:v>
                </c:pt>
                <c:pt idx="19">
                  <c:v>4.39583333333333</c:v>
                </c:pt>
                <c:pt idx="20">
                  <c:v>4.52083333333333</c:v>
                </c:pt>
                <c:pt idx="21">
                  <c:v>4.5625</c:v>
                </c:pt>
                <c:pt idx="22">
                  <c:v>5.10416666666667</c:v>
                </c:pt>
                <c:pt idx="23">
                  <c:v>5.1875</c:v>
                </c:pt>
                <c:pt idx="24">
                  <c:v>5.3125</c:v>
                </c:pt>
                <c:pt idx="25">
                  <c:v>5.39583333333333</c:v>
                </c:pt>
                <c:pt idx="26">
                  <c:v>5.64583333333333</c:v>
                </c:pt>
                <c:pt idx="27">
                  <c:v>5.72916666666667</c:v>
                </c:pt>
                <c:pt idx="28">
                  <c:v>5.89583333333333</c:v>
                </c:pt>
                <c:pt idx="29">
                  <c:v>6.39583333333333</c:v>
                </c:pt>
                <c:pt idx="30">
                  <c:v>6.45833333333333</c:v>
                </c:pt>
                <c:pt idx="31">
                  <c:v>6.5625</c:v>
                </c:pt>
                <c:pt idx="32">
                  <c:v>6.60416666666667</c:v>
                </c:pt>
                <c:pt idx="33">
                  <c:v>6.64583333333334</c:v>
                </c:pt>
                <c:pt idx="34">
                  <c:v>9.97916666666667</c:v>
                </c:pt>
                <c:pt idx="35">
                  <c:v>10.1041666666667</c:v>
                </c:pt>
                <c:pt idx="36">
                  <c:v>10.4791666666667</c:v>
                </c:pt>
                <c:pt idx="37">
                  <c:v>10.8125</c:v>
                </c:pt>
                <c:pt idx="38">
                  <c:v>10.9375</c:v>
                </c:pt>
                <c:pt idx="39">
                  <c:v>11.3125</c:v>
                </c:pt>
                <c:pt idx="40">
                  <c:v>11.4583333333333</c:v>
                </c:pt>
                <c:pt idx="41">
                  <c:v>11.5</c:v>
                </c:pt>
                <c:pt idx="42">
                  <c:v>12.2916666666667</c:v>
                </c:pt>
                <c:pt idx="43">
                  <c:v>12.4166666666667</c:v>
                </c:pt>
                <c:pt idx="44">
                  <c:v>12.5416666666667</c:v>
                </c:pt>
                <c:pt idx="45">
                  <c:v>13.625</c:v>
                </c:pt>
                <c:pt idx="46">
                  <c:v>13.875</c:v>
                </c:pt>
                <c:pt idx="47">
                  <c:v>14.375</c:v>
                </c:pt>
                <c:pt idx="48">
                  <c:v>14.625</c:v>
                </c:pt>
                <c:pt idx="49">
                  <c:v>14.6666666666667</c:v>
                </c:pt>
                <c:pt idx="50">
                  <c:v>14.8333333333333</c:v>
                </c:pt>
                <c:pt idx="51">
                  <c:v>15.5416666666667</c:v>
                </c:pt>
                <c:pt idx="52">
                  <c:v>15.6666666666667</c:v>
                </c:pt>
                <c:pt idx="53">
                  <c:v>15.8333333333333</c:v>
                </c:pt>
                <c:pt idx="54">
                  <c:v>20.2083333333333</c:v>
                </c:pt>
                <c:pt idx="55">
                  <c:v>20.3333333333333</c:v>
                </c:pt>
                <c:pt idx="56">
                  <c:v>20.7083333333333</c:v>
                </c:pt>
                <c:pt idx="57">
                  <c:v>21.9583333333333</c:v>
                </c:pt>
                <c:pt idx="58">
                  <c:v>22.1041666666667</c:v>
                </c:pt>
                <c:pt idx="59">
                  <c:v>22.7291666666667</c:v>
                </c:pt>
                <c:pt idx="60">
                  <c:v>22.8125</c:v>
                </c:pt>
                <c:pt idx="61">
                  <c:v>22.8541666666667</c:v>
                </c:pt>
                <c:pt idx="62">
                  <c:v>23.2916666666667</c:v>
                </c:pt>
                <c:pt idx="63">
                  <c:v>23.8333333333333</c:v>
                </c:pt>
                <c:pt idx="64">
                  <c:v>24</c:v>
                </c:pt>
                <c:pt idx="65">
                  <c:v>24.25</c:v>
                </c:pt>
                <c:pt idx="66">
                  <c:v>25.2916666666667</c:v>
                </c:pt>
                <c:pt idx="67">
                  <c:v>25.4583333333333</c:v>
                </c:pt>
                <c:pt idx="68">
                  <c:v>25.5833333333333</c:v>
                </c:pt>
                <c:pt idx="69">
                  <c:v>26.8625</c:v>
                </c:pt>
              </c:numCache>
            </c:numRef>
          </c:xVal>
          <c:yVal>
            <c:numRef>
              <c:f>Графики!$Y$9:$Y$113</c:f>
              <c:numCache>
                <c:formatCode>General</c:formatCode>
                <c:ptCount val="105"/>
                <c:pt idx="0">
                  <c:v>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81</c:v>
                </c:pt>
                <c:pt idx="13">
                  <c:v>81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3286</c:v>
                </c:pt>
                <c:pt idx="35">
                  <c:v>3286</c:v>
                </c:pt>
                <c:pt idx="36">
                  <c:v>3286</c:v>
                </c:pt>
                <c:pt idx="37">
                  <c:v>3286</c:v>
                </c:pt>
                <c:pt idx="38">
                  <c:v>3286</c:v>
                </c:pt>
                <c:pt idx="39">
                  <c:v>3286</c:v>
                </c:pt>
                <c:pt idx="40">
                  <c:v>3286</c:v>
                </c:pt>
                <c:pt idx="41">
                  <c:v>3286</c:v>
                </c:pt>
                <c:pt idx="42">
                  <c:v>3286</c:v>
                </c:pt>
                <c:pt idx="43">
                  <c:v>3286</c:v>
                </c:pt>
                <c:pt idx="44">
                  <c:v>3286</c:v>
                </c:pt>
                <c:pt idx="45">
                  <c:v>3286</c:v>
                </c:pt>
                <c:pt idx="46">
                  <c:v>3286</c:v>
                </c:pt>
                <c:pt idx="47">
                  <c:v>3286</c:v>
                </c:pt>
                <c:pt idx="48">
                  <c:v>3286</c:v>
                </c:pt>
                <c:pt idx="49">
                  <c:v>3286</c:v>
                </c:pt>
                <c:pt idx="50">
                  <c:v>3286</c:v>
                </c:pt>
                <c:pt idx="51">
                  <c:v>3286</c:v>
                </c:pt>
                <c:pt idx="52">
                  <c:v>3286</c:v>
                </c:pt>
                <c:pt idx="53">
                  <c:v>3286</c:v>
                </c:pt>
                <c:pt idx="54">
                  <c:v>4449</c:v>
                </c:pt>
                <c:pt idx="55">
                  <c:v>4449</c:v>
                </c:pt>
                <c:pt idx="56">
                  <c:v>4449</c:v>
                </c:pt>
                <c:pt idx="57">
                  <c:v>4449</c:v>
                </c:pt>
                <c:pt idx="58">
                  <c:v>4449</c:v>
                </c:pt>
                <c:pt idx="59">
                  <c:v>4449</c:v>
                </c:pt>
                <c:pt idx="60">
                  <c:v>4449</c:v>
                </c:pt>
                <c:pt idx="61">
                  <c:v>4449</c:v>
                </c:pt>
                <c:pt idx="62">
                  <c:v>4449</c:v>
                </c:pt>
                <c:pt idx="63">
                  <c:v>4449</c:v>
                </c:pt>
                <c:pt idx="64">
                  <c:v>4449</c:v>
                </c:pt>
                <c:pt idx="65">
                  <c:v>4449</c:v>
                </c:pt>
                <c:pt idx="66">
                  <c:v>4449</c:v>
                </c:pt>
                <c:pt idx="67">
                  <c:v>4449</c:v>
                </c:pt>
                <c:pt idx="68">
                  <c:v>4449</c:v>
                </c:pt>
                <c:pt idx="69">
                  <c:v>4449</c:v>
                </c:pt>
              </c:numCache>
            </c:numRef>
          </c:yVal>
          <c:smooth val="1"/>
        </c:ser>
        <c:axId val="5004099"/>
        <c:axId val="88685173"/>
      </c:scatterChart>
      <c:valAx>
        <c:axId val="5004099"/>
        <c:scaling>
          <c:orientation val="minMax"/>
          <c:max val="32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ru-RU" sz="900" spc="-1" strike="noStrike">
                    <a:solidFill>
                      <a:srgbClr val="595959"/>
                    </a:solidFill>
                    <a:latin typeface="Arial Narrow"/>
                  </a:defRPr>
                </a:pPr>
                <a:r>
                  <a:rPr b="0" lang="ru-RU" sz="900" spc="-1" strike="noStrike">
                    <a:solidFill>
                      <a:srgbClr val="595959"/>
                    </a:solidFill>
                    <a:latin typeface="Arial Narrow"/>
                  </a:rPr>
                  <a:t>Сутки</a:t>
                </a:r>
              </a:p>
            </c:rich>
          </c:tx>
          <c:layout>
            <c:manualLayout>
              <c:xMode val="edge"/>
              <c:yMode val="edge"/>
              <c:x val="0.481249333191081"/>
              <c:y val="0.947553350901669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high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 Narrow"/>
              </a:defRPr>
            </a:pPr>
          </a:p>
        </c:txPr>
        <c:crossAx val="88685173"/>
        <c:crosses val="autoZero"/>
        <c:crossBetween val="midCat"/>
        <c:majorUnit val="3"/>
      </c:valAx>
      <c:valAx>
        <c:axId val="88685173"/>
        <c:scaling>
          <c:orientation val="maxMin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ru-RU" sz="900" spc="-1" strike="noStrike">
                    <a:solidFill>
                      <a:srgbClr val="595959"/>
                    </a:solidFill>
                    <a:latin typeface="Arial Narrow"/>
                  </a:defRPr>
                </a:pPr>
                <a:r>
                  <a:rPr b="0" lang="ru-RU" sz="900" spc="-1" strike="noStrike">
                    <a:solidFill>
                      <a:srgbClr val="595959"/>
                    </a:solidFill>
                    <a:latin typeface="Arial Narrow"/>
                  </a:rPr>
                  <a:t>Метры</a:t>
                </a:r>
              </a:p>
            </c:rich>
          </c:tx>
          <c:layout>
            <c:manualLayout>
              <c:xMode val="edge"/>
              <c:yMode val="edge"/>
              <c:x val="0.0179504961058359"/>
              <c:y val="0.45827520281093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 Narrow"/>
              </a:defRPr>
            </a:pPr>
          </a:p>
        </c:txPr>
        <c:crossAx val="5004099"/>
        <c:crossesAt val="0"/>
        <c:crossBetween val="midCat"/>
        <c:majorUnit val="250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67944458448594"/>
          <c:y val="0.395276380236919"/>
          <c:w val="0.114712546448023"/>
          <c:h val="0.058333482032288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Расппределение НПВ по типам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3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2c4d75"/>
              </a:solidFill>
              <a:ln w="25560">
                <a:solidFill>
                  <a:srgbClr val="ffffff"/>
                </a:solidFill>
                <a:round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'реестр НПВ'!$L$50:$L$56</c:f>
              <c:strCache>
                <c:ptCount val="7"/>
                <c:pt idx="0">
                  <c:v>Аварии</c:v>
                </c:pt>
                <c:pt idx="1">
                  <c:v>Осложнения</c:v>
                </c:pt>
                <c:pt idx="2">
                  <c:v>Геологические осложнения</c:v>
                </c:pt>
                <c:pt idx="3">
                  <c:v>Ликв.брака</c:v>
                </c:pt>
                <c:pt idx="4">
                  <c:v>Простои</c:v>
                </c:pt>
                <c:pt idx="5">
                  <c:v>Простои
метео</c:v>
                </c:pt>
                <c:pt idx="6">
                  <c:v>Ремонт ББ</c:v>
                </c:pt>
              </c:strCache>
            </c:strRef>
          </c:cat>
          <c:val>
            <c:numRef>
              <c:f>'реестр НПВ'!$M$50:$M$56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</c:pie3DChart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Расппределение НПВ по ПО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3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2c4d75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772c2a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solidFill>
                <a:srgbClr val="5f7530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solidFill>
                <a:srgbClr val="4d3b62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solidFill>
                <a:srgbClr val="276a7c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1"/>
            <c:spPr>
              <a:solidFill>
                <a:srgbClr val="b65708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2"/>
            <c:spPr>
              <a:solidFill>
                <a:srgbClr val="729aca"/>
              </a:solidFill>
              <a:ln w="25560">
                <a:solidFill>
                  <a:srgbClr val="ffffff"/>
                </a:solidFill>
                <a:round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1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2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'реестр НПВ'!$L$62:$L$74</c:f>
              <c:strCache>
                <c:ptCount val="13"/>
                <c:pt idx="0">
                  <c:v>ООО "ЮСК"</c:v>
                </c:pt>
                <c:pt idx="1">
                  <c:v>НФ ООО "БКЕ"</c:v>
                </c:pt>
                <c:pt idx="2">
                  <c:v>ООО  "ССР"</c:v>
                </c:pt>
                <c:pt idx="3">
                  <c:v>ООО "НПП "Буринтех"</c:v>
                </c:pt>
                <c:pt idx="4">
                  <c:v>ООО "НПП "Буринтех"</c:v>
                </c:pt>
                <c:pt idx="5">
                  <c:v>ООО "Бренд Фактор"</c:v>
                </c:pt>
                <c:pt idx="6">
                  <c:v>ООО "НОРД-СЕРВИС"</c:v>
                </c:pt>
                <c:pt idx="7">
                  <c:v>ООО "Зенит-Сервис"</c:v>
                </c:pt>
                <c:pt idx="8">
                  <c:v>ПО 1</c:v>
                </c:pt>
                <c:pt idx="9">
                  <c:v>ПО 2</c:v>
                </c:pt>
                <c:pt idx="10">
                  <c:v>ПО 3</c:v>
                </c:pt>
                <c:pt idx="11">
                  <c:v>ПО 4</c:v>
                </c:pt>
                <c:pt idx="12">
                  <c:v>ГПНХ</c:v>
                </c:pt>
              </c:strCache>
            </c:strRef>
          </c:cat>
          <c:val>
            <c:numRef>
              <c:f>'реестр НПВ'!$M$62:$M$74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</c:pie3DChart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362520</xdr:colOff>
      <xdr:row>8</xdr:row>
      <xdr:rowOff>65520</xdr:rowOff>
    </xdr:from>
    <xdr:to>
      <xdr:col>15</xdr:col>
      <xdr:colOff>2542680</xdr:colOff>
      <xdr:row>15</xdr:row>
      <xdr:rowOff>99000</xdr:rowOff>
    </xdr:to>
    <xdr:sp>
      <xdr:nvSpPr>
        <xdr:cNvPr id="0" name="Rectangle 2"/>
        <xdr:cNvSpPr/>
      </xdr:nvSpPr>
      <xdr:spPr>
        <a:xfrm>
          <a:off x="14437440" y="1751400"/>
          <a:ext cx="2180160" cy="145260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1" lang="ru-RU" sz="1200" spc="-1" strike="noStrike">
              <a:solidFill>
                <a:srgbClr val="000000"/>
              </a:solidFill>
              <a:latin typeface="Times New Roman"/>
            </a:rPr>
            <a:t>Согласовано: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Руководитель направления по сопровождению бурения  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ООО "Газпромнефть-Хантос"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______________В.О. Тырин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 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twoCell">
    <xdr:from>
      <xdr:col>16</xdr:col>
      <xdr:colOff>356040</xdr:colOff>
      <xdr:row>0</xdr:row>
      <xdr:rowOff>268920</xdr:rowOff>
    </xdr:from>
    <xdr:to>
      <xdr:col>18</xdr:col>
      <xdr:colOff>2342880</xdr:colOff>
      <xdr:row>8</xdr:row>
      <xdr:rowOff>21600</xdr:rowOff>
    </xdr:to>
    <xdr:sp>
      <xdr:nvSpPr>
        <xdr:cNvPr id="1" name="Rectangle 2"/>
        <xdr:cNvSpPr/>
      </xdr:nvSpPr>
      <xdr:spPr>
        <a:xfrm>
          <a:off x="17381160" y="268920"/>
          <a:ext cx="3124800" cy="14385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1" lang="ru-RU" sz="1200" spc="-1" strike="noStrike">
              <a:solidFill>
                <a:srgbClr val="000000"/>
              </a:solidFill>
              <a:latin typeface="Times New Roman"/>
            </a:rPr>
            <a:t>Утверждаю: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Руководитель проекта 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НФ ООО "БКЕ"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____________А.Е. Ефремов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twoCell">
    <xdr:from>
      <xdr:col>15</xdr:col>
      <xdr:colOff>371520</xdr:colOff>
      <xdr:row>0</xdr:row>
      <xdr:rowOff>190440</xdr:rowOff>
    </xdr:from>
    <xdr:to>
      <xdr:col>15</xdr:col>
      <xdr:colOff>2551680</xdr:colOff>
      <xdr:row>8</xdr:row>
      <xdr:rowOff>104400</xdr:rowOff>
    </xdr:to>
    <xdr:sp>
      <xdr:nvSpPr>
        <xdr:cNvPr id="2" name="Rectangle 2"/>
        <xdr:cNvSpPr/>
      </xdr:nvSpPr>
      <xdr:spPr>
        <a:xfrm>
          <a:off x="14446440" y="190440"/>
          <a:ext cx="2180160" cy="15998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1" lang="ru-RU" sz="1200" spc="-1" strike="noStrike">
              <a:solidFill>
                <a:srgbClr val="000000"/>
              </a:solidFill>
              <a:latin typeface="Times New Roman"/>
            </a:rPr>
            <a:t>Согласовано: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Руководитель сектора по технологическому сопровождения бурения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ООО "Газпромнефть-Хантос"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______________Д.В. Типелиус</a:t>
          </a:r>
          <a:endParaRPr b="0" lang="ru-RU" sz="12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200" spc="-1" strike="noStrike">
              <a:solidFill>
                <a:srgbClr val="000000"/>
              </a:solidFill>
              <a:latin typeface="Times New Roman"/>
            </a:rPr>
            <a:t> </a:t>
          </a:r>
          <a:endParaRPr b="0" lang="ru-RU" sz="12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67320</xdr:colOff>
      <xdr:row>0</xdr:row>
      <xdr:rowOff>108000</xdr:rowOff>
    </xdr:from>
    <xdr:to>
      <xdr:col>14</xdr:col>
      <xdr:colOff>1142640</xdr:colOff>
      <xdr:row>7</xdr:row>
      <xdr:rowOff>107640</xdr:rowOff>
    </xdr:to>
    <xdr:sp>
      <xdr:nvSpPr>
        <xdr:cNvPr id="3" name="Rectangle 2"/>
        <xdr:cNvSpPr/>
      </xdr:nvSpPr>
      <xdr:spPr>
        <a:xfrm>
          <a:off x="9068400" y="108000"/>
          <a:ext cx="2676240" cy="13712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>
            <a:lnSpc>
              <a:spcPct val="100000"/>
            </a:lnSpc>
          </a:pPr>
          <a:r>
            <a:rPr b="1" lang="ru-RU" sz="1050" spc="-1" strike="noStrike">
              <a:solidFill>
                <a:srgbClr val="000000"/>
              </a:solidFill>
              <a:latin typeface="Arial"/>
            </a:rPr>
            <a:t>Согласовано:</a:t>
          </a: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1050" spc="-1" strike="noStrike">
              <a:solidFill>
                <a:srgbClr val="000000"/>
              </a:solidFill>
              <a:latin typeface="Arial"/>
            </a:rPr>
            <a:t>Начальник отдела </a:t>
          </a: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1050" spc="-1" strike="noStrike">
              <a:solidFill>
                <a:srgbClr val="000000"/>
              </a:solidFill>
              <a:latin typeface="Arial"/>
            </a:rPr>
            <a:t>инжиниринга бурения</a:t>
          </a: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1050" spc="-1" strike="noStrike">
              <a:solidFill>
                <a:srgbClr val="000000"/>
              </a:solidFill>
              <a:latin typeface="Arial"/>
            </a:rPr>
            <a:t>ООО "Газпромнефть-Хантос"</a:t>
          </a: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1050" spc="-1" strike="noStrike">
              <a:solidFill>
                <a:srgbClr val="000000"/>
              </a:solidFill>
              <a:latin typeface="Arial"/>
            </a:rPr>
            <a:t>______________А.А. Ерофеев</a:t>
          </a:r>
          <a:endParaRPr b="0" lang="ru-RU" sz="105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253800</xdr:colOff>
      <xdr:row>0</xdr:row>
      <xdr:rowOff>151200</xdr:rowOff>
    </xdr:from>
    <xdr:to>
      <xdr:col>9</xdr:col>
      <xdr:colOff>582480</xdr:colOff>
      <xdr:row>8</xdr:row>
      <xdr:rowOff>156600</xdr:rowOff>
    </xdr:to>
    <xdr:sp>
      <xdr:nvSpPr>
        <xdr:cNvPr id="4" name="Rectangle 2"/>
        <xdr:cNvSpPr/>
      </xdr:nvSpPr>
      <xdr:spPr>
        <a:xfrm>
          <a:off x="5791680" y="151200"/>
          <a:ext cx="2584080" cy="15483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>
            <a:lnSpc>
              <a:spcPct val="100000"/>
            </a:lnSpc>
          </a:pPr>
          <a:r>
            <a:rPr b="1" lang="ru-RU" sz="1050" spc="-1" strike="noStrike">
              <a:solidFill>
                <a:srgbClr val="000000"/>
              </a:solidFill>
              <a:latin typeface="Arial"/>
            </a:rPr>
            <a:t>Утверждаю:</a:t>
          </a:r>
          <a:endParaRPr b="0" lang="ru-RU" sz="105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19080</xdr:colOff>
      <xdr:row>11</xdr:row>
      <xdr:rowOff>19080</xdr:rowOff>
    </xdr:from>
    <xdr:to>
      <xdr:col>5</xdr:col>
      <xdr:colOff>304560</xdr:colOff>
      <xdr:row>12</xdr:row>
      <xdr:rowOff>142560</xdr:rowOff>
    </xdr:to>
    <xdr:sp>
      <xdr:nvSpPr>
        <xdr:cNvPr id="5" name="Двойные круглые скобки 4"/>
        <xdr:cNvSpPr/>
      </xdr:nvSpPr>
      <xdr:spPr>
        <a:xfrm>
          <a:off x="5556960" y="2124000"/>
          <a:ext cx="637920" cy="657000"/>
        </a:xfrm>
        <a:prstGeom prst="bracketPair">
          <a:avLst>
            <a:gd name="adj" fmla="val 12500"/>
          </a:avLst>
        </a:prstGeom>
        <a:noFill/>
        <a:ln w="9525">
          <a:solidFill>
            <a:srgbClr val="4a7ebb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176760</xdr:colOff>
      <xdr:row>4</xdr:row>
      <xdr:rowOff>147240</xdr:rowOff>
    </xdr:from>
    <xdr:to>
      <xdr:col>19</xdr:col>
      <xdr:colOff>501840</xdr:colOff>
      <xdr:row>37</xdr:row>
      <xdr:rowOff>198720</xdr:rowOff>
    </xdr:to>
    <xdr:graphicFrame>
      <xdr:nvGraphicFramePr>
        <xdr:cNvPr id="6" name="Диаграмма 1"/>
        <xdr:cNvGraphicFramePr/>
      </xdr:nvGraphicFramePr>
      <xdr:xfrm>
        <a:off x="176760" y="985320"/>
        <a:ext cx="13496760" cy="696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48</xdr:row>
      <xdr:rowOff>142920</xdr:rowOff>
    </xdr:from>
    <xdr:to>
      <xdr:col>9</xdr:col>
      <xdr:colOff>678240</xdr:colOff>
      <xdr:row>70</xdr:row>
      <xdr:rowOff>130680</xdr:rowOff>
    </xdr:to>
    <xdr:graphicFrame>
      <xdr:nvGraphicFramePr>
        <xdr:cNvPr id="7" name="Диаграмма 1"/>
        <xdr:cNvGraphicFramePr/>
      </xdr:nvGraphicFramePr>
      <xdr:xfrm>
        <a:off x="0" y="11382480"/>
        <a:ext cx="8160480" cy="417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11880</xdr:colOff>
      <xdr:row>71</xdr:row>
      <xdr:rowOff>71280</xdr:rowOff>
    </xdr:from>
    <xdr:to>
      <xdr:col>9</xdr:col>
      <xdr:colOff>690120</xdr:colOff>
      <xdr:row>91</xdr:row>
      <xdr:rowOff>59040</xdr:rowOff>
    </xdr:to>
    <xdr:graphicFrame>
      <xdr:nvGraphicFramePr>
        <xdr:cNvPr id="8" name="Диаграмма 2"/>
        <xdr:cNvGraphicFramePr/>
      </xdr:nvGraphicFramePr>
      <xdr:xfrm>
        <a:off x="11880" y="15692400"/>
        <a:ext cx="8160480" cy="379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I326"/>
  <sheetViews>
    <sheetView showFormulas="false" showGridLines="false" showRowColHeaders="true" showZeros="true" rightToLeft="false" tabSelected="true" showOutlineSymbols="true" defaultGridColor="true" view="pageBreakPreview" topLeftCell="A55" colorId="64" zoomScale="85" zoomScaleNormal="90" zoomScalePageLayoutView="85" workbookViewId="0">
      <selection pane="topLeft" activeCell="K75" activeCellId="0" sqref="K75"/>
    </sheetView>
  </sheetViews>
  <sheetFormatPr defaultColWidth="9.1484375" defaultRowHeight="12.75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2" width="26.57"/>
    <col collapsed="false" customWidth="true" hidden="false" outlineLevel="0" max="3" min="3" style="2" width="25.14"/>
    <col collapsed="false" customWidth="true" hidden="false" outlineLevel="0" max="4" min="4" style="2" width="29.29"/>
    <col collapsed="false" customWidth="true" hidden="false" outlineLevel="0" max="7" min="5" style="2" width="9.71"/>
    <col collapsed="false" customWidth="true" hidden="false" outlineLevel="0" max="8" min="8" style="2" width="9.57"/>
    <col collapsed="false" customWidth="true" hidden="false" outlineLevel="0" max="9" min="9" style="2" width="9.29"/>
    <col collapsed="false" customWidth="true" hidden="false" outlineLevel="0" max="10" min="10" style="2" width="15.42"/>
    <col collapsed="false" customWidth="true" hidden="false" outlineLevel="0" max="11" min="11" style="2" width="9.71"/>
    <col collapsed="false" customWidth="true" hidden="false" outlineLevel="0" max="12" min="12" style="2" width="6.71"/>
    <col collapsed="false" customWidth="true" hidden="false" outlineLevel="0" max="14" min="13" style="2" width="9.71"/>
    <col collapsed="false" customWidth="true" hidden="false" outlineLevel="0" max="15" min="15" style="2" width="15.42"/>
    <col collapsed="false" customWidth="true" hidden="false" outlineLevel="0" max="16" min="16" style="2" width="41.86"/>
    <col collapsed="false" customWidth="true" hidden="false" outlineLevel="0" max="17" min="17" style="2" width="9"/>
    <col collapsed="false" customWidth="true" hidden="false" outlineLevel="0" max="18" min="18" style="2" width="7.15"/>
    <col collapsed="false" customWidth="true" hidden="false" outlineLevel="0" max="19" min="19" style="2" width="36.15"/>
    <col collapsed="false" customWidth="true" hidden="false" outlineLevel="0" max="20" min="20" style="2" width="2.57"/>
    <col collapsed="false" customWidth="true" hidden="false" outlineLevel="0" max="21" min="21" style="2" width="10"/>
    <col collapsed="false" customWidth="true" hidden="false" outlineLevel="0" max="22" min="22" style="3" width="10"/>
    <col collapsed="false" customWidth="true" hidden="false" outlineLevel="0" max="23" min="23" style="2" width="11.71"/>
    <col collapsed="false" customWidth="true" hidden="false" outlineLevel="0" max="24" min="24" style="2" width="5.42"/>
    <col collapsed="false" customWidth="true" hidden="false" outlineLevel="0" max="31" min="25" style="2" width="6.57"/>
    <col collapsed="false" customWidth="true" hidden="false" outlineLevel="0" max="32" min="32" style="2" width="4"/>
    <col collapsed="false" customWidth="false" hidden="false" outlineLevel="0" max="33" min="33" style="2" width="9.14"/>
    <col collapsed="false" customWidth="true" hidden="false" outlineLevel="0" max="34" min="34" style="2" width="4.29"/>
    <col collapsed="false" customWidth="true" hidden="false" outlineLevel="0" max="35" min="35" style="2" width="11.43"/>
    <col collapsed="false" customWidth="false" hidden="false" outlineLevel="0" max="16384" min="36" style="2" width="9.14"/>
  </cols>
  <sheetData>
    <row r="1" customFormat="false" ht="35.25" hidden="false" customHeight="true" outlineLevel="1" collapsed="false">
      <c r="A1" s="4" t="s">
        <v>0</v>
      </c>
      <c r="B1" s="4"/>
      <c r="C1" s="4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  <c r="R1" s="6"/>
    </row>
    <row r="2" customFormat="false" ht="12.75" hidden="false" customHeight="true" outlineLevel="1" collapsed="false">
      <c r="A2" s="5"/>
      <c r="B2" s="8" t="s">
        <v>1</v>
      </c>
      <c r="C2" s="8"/>
      <c r="D2" s="9" t="s">
        <v>2</v>
      </c>
      <c r="E2" s="9"/>
      <c r="F2" s="9"/>
      <c r="G2" s="9"/>
      <c r="H2" s="9"/>
      <c r="I2" s="9"/>
      <c r="J2" s="9"/>
      <c r="K2" s="10" t="s">
        <v>3</v>
      </c>
      <c r="L2" s="10"/>
      <c r="M2" s="10"/>
      <c r="N2" s="10"/>
      <c r="O2" s="10"/>
      <c r="P2" s="11"/>
      <c r="Q2" s="7"/>
      <c r="R2" s="6"/>
    </row>
    <row r="3" customFormat="false" ht="16.5" hidden="false" customHeight="true" outlineLevel="1" collapsed="false">
      <c r="A3" s="12"/>
      <c r="B3" s="13" t="s">
        <v>4</v>
      </c>
      <c r="C3" s="14" t="s">
        <v>5</v>
      </c>
      <c r="D3" s="15" t="s">
        <v>6</v>
      </c>
      <c r="E3" s="16" t="s">
        <v>7</v>
      </c>
      <c r="F3" s="16"/>
      <c r="G3" s="16"/>
      <c r="H3" s="16"/>
      <c r="I3" s="16"/>
      <c r="J3" s="16"/>
      <c r="K3" s="17" t="s">
        <v>8</v>
      </c>
      <c r="L3" s="17"/>
      <c r="M3" s="17"/>
      <c r="N3" s="18" t="n">
        <v>45489.2083333333</v>
      </c>
      <c r="O3" s="18"/>
      <c r="P3" s="11"/>
      <c r="Q3" s="7"/>
      <c r="R3" s="7"/>
    </row>
    <row r="4" customFormat="false" ht="12.75" hidden="false" customHeight="true" outlineLevel="1" collapsed="false">
      <c r="A4" s="12"/>
      <c r="B4" s="19" t="s">
        <v>9</v>
      </c>
      <c r="C4" s="20" t="s">
        <v>10</v>
      </c>
      <c r="D4" s="21" t="s">
        <v>11</v>
      </c>
      <c r="E4" s="22" t="s">
        <v>12</v>
      </c>
      <c r="F4" s="23"/>
      <c r="G4" s="24"/>
      <c r="H4" s="25" t="s">
        <v>13</v>
      </c>
      <c r="I4" s="26" t="s">
        <v>14</v>
      </c>
      <c r="J4" s="27" t="s">
        <v>15</v>
      </c>
      <c r="K4" s="28" t="s">
        <v>16</v>
      </c>
      <c r="L4" s="28"/>
      <c r="M4" s="28"/>
      <c r="N4" s="29" t="n">
        <f aca="false">J89</f>
        <v>45516.0708333333</v>
      </c>
      <c r="O4" s="29"/>
      <c r="P4" s="11"/>
      <c r="Q4" s="7"/>
      <c r="R4" s="7"/>
    </row>
    <row r="5" customFormat="false" ht="12.75" hidden="false" customHeight="true" outlineLevel="1" collapsed="false">
      <c r="A5" s="12"/>
      <c r="B5" s="19" t="s">
        <v>17</v>
      </c>
      <c r="C5" s="20" t="s">
        <v>18</v>
      </c>
      <c r="D5" s="30" t="n">
        <v>323.9</v>
      </c>
      <c r="E5" s="22" t="n">
        <v>80</v>
      </c>
      <c r="F5" s="23"/>
      <c r="G5" s="24"/>
      <c r="H5" s="25"/>
      <c r="I5" s="25"/>
      <c r="J5" s="31" t="n">
        <f aca="false">ROUNDUP((E5-5)/11.3,0)</f>
        <v>7</v>
      </c>
      <c r="K5" s="28" t="s">
        <v>19</v>
      </c>
      <c r="L5" s="28"/>
      <c r="M5" s="28"/>
      <c r="N5" s="29" t="n">
        <f aca="false">O89</f>
        <v>45516.375</v>
      </c>
      <c r="O5" s="29"/>
      <c r="P5" s="11"/>
      <c r="Q5" s="7"/>
      <c r="R5" s="7"/>
    </row>
    <row r="6" customFormat="false" ht="13.5" hidden="false" customHeight="true" outlineLevel="1" collapsed="false">
      <c r="A6" s="12"/>
      <c r="B6" s="19" t="s">
        <v>20</v>
      </c>
      <c r="C6" s="20" t="n">
        <v>46626</v>
      </c>
      <c r="D6" s="30" t="n">
        <v>244.5</v>
      </c>
      <c r="E6" s="22" t="n">
        <v>1500</v>
      </c>
      <c r="F6" s="23"/>
      <c r="G6" s="24"/>
      <c r="H6" s="25"/>
      <c r="I6" s="32" t="n">
        <f aca="false">ROUNDUP((E6-E5)/25.5,0)</f>
        <v>56</v>
      </c>
      <c r="J6" s="31" t="n">
        <f aca="false">ROUNDUP((E6-E5-5)/11.3,0)</f>
        <v>126</v>
      </c>
      <c r="K6" s="33" t="s">
        <v>21</v>
      </c>
      <c r="L6" s="33"/>
      <c r="M6" s="33"/>
      <c r="N6" s="34" t="n">
        <f aca="false">N3+R90</f>
        <v>45516.0708333333</v>
      </c>
      <c r="O6" s="34"/>
      <c r="P6" s="11"/>
      <c r="Q6" s="7"/>
      <c r="R6" s="7"/>
    </row>
    <row r="7" customFormat="false" ht="12.75" hidden="false" customHeight="true" outlineLevel="1" collapsed="false">
      <c r="A7" s="12"/>
      <c r="B7" s="19" t="s">
        <v>22</v>
      </c>
      <c r="C7" s="20" t="s">
        <v>23</v>
      </c>
      <c r="D7" s="30" t="n">
        <v>177.8</v>
      </c>
      <c r="E7" s="22" t="n">
        <v>3300</v>
      </c>
      <c r="F7" s="23"/>
      <c r="G7" s="24"/>
      <c r="H7" s="25"/>
      <c r="I7" s="32" t="n">
        <f aca="false">ROUNDUP((E7-E6)/25.5,0)</f>
        <v>71</v>
      </c>
      <c r="J7" s="31" t="n">
        <f aca="false">ROUNDUP((E7-E6-5)/11.3,0)</f>
        <v>159</v>
      </c>
      <c r="K7" s="35" t="s">
        <v>24</v>
      </c>
      <c r="L7" s="35"/>
      <c r="M7" s="35"/>
      <c r="N7" s="36" t="n">
        <f aca="false">N4-N3</f>
        <v>26.8624999999956</v>
      </c>
      <c r="O7" s="36"/>
      <c r="P7" s="11"/>
      <c r="Q7" s="7"/>
      <c r="R7" s="7"/>
    </row>
    <row r="8" customFormat="false" ht="16.5" hidden="false" customHeight="true" outlineLevel="1" collapsed="false">
      <c r="A8" s="12"/>
      <c r="B8" s="19" t="s">
        <v>25</v>
      </c>
      <c r="C8" s="20" t="s">
        <v>26</v>
      </c>
      <c r="D8" s="30" t="n">
        <v>114</v>
      </c>
      <c r="E8" s="22" t="n">
        <v>4449</v>
      </c>
      <c r="F8" s="23"/>
      <c r="G8" s="24"/>
      <c r="H8" s="25"/>
      <c r="I8" s="32" t="n">
        <f aca="false">ROUNDUP((E8-E7)/25.5,0)</f>
        <v>46</v>
      </c>
      <c r="J8" s="31" t="n">
        <f aca="false">ROUNDUP((E8-E7-5)/11.3,0)</f>
        <v>102</v>
      </c>
      <c r="K8" s="28" t="s">
        <v>27</v>
      </c>
      <c r="L8" s="28"/>
      <c r="M8" s="28"/>
      <c r="N8" s="37" t="n">
        <f aca="false">N5-N3</f>
        <v>27.1666666666715</v>
      </c>
      <c r="O8" s="37"/>
      <c r="P8" s="11"/>
      <c r="Q8" s="7"/>
      <c r="R8" s="7"/>
    </row>
    <row r="9" customFormat="false" ht="15" hidden="false" customHeight="true" outlineLevel="1" collapsed="false">
      <c r="A9" s="12"/>
      <c r="B9" s="38"/>
      <c r="C9" s="20"/>
      <c r="D9" s="19"/>
      <c r="E9" s="39"/>
      <c r="F9" s="39"/>
      <c r="G9" s="39"/>
      <c r="H9" s="27"/>
      <c r="I9" s="27"/>
      <c r="J9" s="27"/>
      <c r="K9" s="40" t="s">
        <v>28</v>
      </c>
      <c r="L9" s="40"/>
      <c r="M9" s="40"/>
      <c r="N9" s="41" t="n">
        <f aca="false">N6-N3</f>
        <v>26.8625000000029</v>
      </c>
      <c r="O9" s="41"/>
      <c r="P9" s="11"/>
      <c r="Q9" s="7"/>
      <c r="R9" s="7"/>
      <c r="W9" s="42" t="s">
        <v>29</v>
      </c>
      <c r="X9" s="43" t="n">
        <f aca="false">SUM(I49:I52)/24</f>
        <v>0.708333333333333</v>
      </c>
    </row>
    <row r="10" customFormat="false" ht="16.5" hidden="false" customHeight="true" outlineLevel="1" collapsed="false">
      <c r="A10" s="12"/>
      <c r="B10" s="19"/>
      <c r="C10" s="20"/>
      <c r="D10" s="19" t="s">
        <v>30</v>
      </c>
      <c r="E10" s="39" t="n">
        <f aca="false">E8-E7</f>
        <v>1149</v>
      </c>
      <c r="F10" s="39"/>
      <c r="G10" s="39"/>
      <c r="H10" s="27" t="n">
        <f aca="false">H8-H7</f>
        <v>0</v>
      </c>
      <c r="I10" s="27"/>
      <c r="J10" s="27"/>
      <c r="K10" s="44" t="s">
        <v>31</v>
      </c>
      <c r="L10" s="45" t="s">
        <v>12</v>
      </c>
      <c r="M10" s="45"/>
      <c r="N10" s="36" t="n">
        <f aca="false">N7/E13*1000</f>
        <v>6.03787367947755</v>
      </c>
      <c r="O10" s="36"/>
      <c r="P10" s="11"/>
      <c r="Q10" s="7"/>
      <c r="R10" s="7"/>
      <c r="W10" s="42" t="s">
        <v>32</v>
      </c>
      <c r="X10" s="43" t="n">
        <f aca="false">(N7-X9)/E8*1000</f>
        <v>5.87866187158065</v>
      </c>
    </row>
    <row r="11" customFormat="false" ht="16.5" hidden="false" customHeight="true" outlineLevel="1" collapsed="false">
      <c r="A11" s="12"/>
      <c r="B11" s="19"/>
      <c r="C11" s="20"/>
      <c r="D11" s="46" t="s">
        <v>33</v>
      </c>
      <c r="E11" s="22"/>
      <c r="F11" s="47"/>
      <c r="G11" s="47" t="n">
        <f aca="false">E11-F11</f>
        <v>0</v>
      </c>
      <c r="H11" s="48"/>
      <c r="I11" s="48"/>
      <c r="J11" s="49" t="n">
        <v>0</v>
      </c>
      <c r="K11" s="44"/>
      <c r="L11" s="50" t="s">
        <v>34</v>
      </c>
      <c r="M11" s="50"/>
      <c r="N11" s="37" t="n">
        <f aca="false">N8/E13*1000</f>
        <v>6.10624110287065</v>
      </c>
      <c r="O11" s="37"/>
      <c r="P11" s="11"/>
      <c r="Q11" s="7"/>
      <c r="R11" s="7"/>
    </row>
    <row r="12" customFormat="false" ht="18.75" hidden="false" customHeight="true" outlineLevel="1" collapsed="false">
      <c r="A12" s="12"/>
      <c r="B12" s="19"/>
      <c r="C12" s="20"/>
      <c r="D12" s="46" t="s">
        <v>35</v>
      </c>
      <c r="E12" s="22"/>
      <c r="F12" s="47"/>
      <c r="G12" s="47" t="n">
        <f aca="false">E12-F12</f>
        <v>0</v>
      </c>
      <c r="H12" s="48"/>
      <c r="I12" s="48"/>
      <c r="J12" s="49" t="n">
        <v>0</v>
      </c>
      <c r="K12" s="44"/>
      <c r="L12" s="51" t="s">
        <v>21</v>
      </c>
      <c r="M12" s="51"/>
      <c r="N12" s="52" t="n">
        <f aca="false">N9/E13*1000</f>
        <v>6.03787367947919</v>
      </c>
      <c r="O12" s="52"/>
      <c r="P12" s="11"/>
      <c r="Q12" s="7"/>
      <c r="R12" s="7"/>
    </row>
    <row r="13" customFormat="false" ht="14.25" hidden="false" customHeight="true" outlineLevel="1" collapsed="false">
      <c r="A13" s="12"/>
      <c r="B13" s="19"/>
      <c r="C13" s="20"/>
      <c r="D13" s="53" t="s">
        <v>36</v>
      </c>
      <c r="E13" s="39" t="n">
        <f aca="false">E8+G11+G12</f>
        <v>4449</v>
      </c>
      <c r="F13" s="39"/>
      <c r="G13" s="39"/>
      <c r="H13" s="54"/>
      <c r="I13" s="54"/>
      <c r="J13" s="54"/>
      <c r="K13" s="35" t="s">
        <v>37</v>
      </c>
      <c r="L13" s="35"/>
      <c r="M13" s="35"/>
      <c r="N13" s="55" t="n">
        <f aca="false">N5-N4</f>
        <v>0.304166666675883</v>
      </c>
      <c r="O13" s="55"/>
      <c r="P13" s="11"/>
      <c r="Q13" s="7"/>
      <c r="R13" s="7"/>
    </row>
    <row r="14" customFormat="false" ht="14.25" hidden="false" customHeight="true" outlineLevel="1" collapsed="false">
      <c r="A14" s="12"/>
      <c r="B14" s="19"/>
      <c r="C14" s="20"/>
      <c r="D14" s="53" t="s">
        <v>38</v>
      </c>
      <c r="E14" s="39"/>
      <c r="F14" s="39"/>
      <c r="G14" s="39"/>
      <c r="H14" s="54"/>
      <c r="I14" s="54"/>
      <c r="J14" s="54"/>
      <c r="K14" s="56" t="s">
        <v>39</v>
      </c>
      <c r="L14" s="56"/>
      <c r="M14" s="56"/>
      <c r="N14" s="57" t="n">
        <f aca="false">'реестр НПВ'!M56/('Глубина-день'!N8*24-'реестр НПВ'!M63)</f>
        <v>0</v>
      </c>
      <c r="O14" s="57"/>
      <c r="P14" s="11"/>
      <c r="Q14" s="7"/>
      <c r="R14" s="7"/>
    </row>
    <row r="15" customFormat="false" ht="16.5" hidden="false" customHeight="true" outlineLevel="1" collapsed="false">
      <c r="A15" s="12"/>
      <c r="B15" s="58"/>
      <c r="C15" s="59"/>
      <c r="D15" s="60" t="s">
        <v>40</v>
      </c>
      <c r="E15" s="61" t="n">
        <v>1</v>
      </c>
      <c r="F15" s="61"/>
      <c r="G15" s="61"/>
      <c r="H15" s="62"/>
      <c r="I15" s="62"/>
      <c r="J15" s="62"/>
      <c r="K15" s="63" t="s">
        <v>41</v>
      </c>
      <c r="L15" s="63"/>
      <c r="M15" s="63"/>
      <c r="N15" s="63"/>
      <c r="O15" s="63"/>
      <c r="P15" s="11"/>
      <c r="Q15" s="7"/>
      <c r="R15" s="7"/>
    </row>
    <row r="16" customFormat="false" ht="13.5" hidden="false" customHeight="false" outlineLevel="1" collapsed="false">
      <c r="A16" s="12"/>
      <c r="B16" s="64"/>
      <c r="C16" s="64"/>
      <c r="D16" s="6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customFormat="false" ht="16.5" hidden="false" customHeight="true" outlineLevel="0" collapsed="false">
      <c r="A17" s="66" t="s">
        <v>42</v>
      </c>
      <c r="B17" s="66"/>
      <c r="C17" s="66"/>
      <c r="D17" s="66"/>
      <c r="E17" s="66"/>
      <c r="F17" s="66"/>
      <c r="G17" s="66"/>
      <c r="H17" s="67" t="s">
        <v>12</v>
      </c>
      <c r="I17" s="67"/>
      <c r="J17" s="67"/>
      <c r="K17" s="67" t="s">
        <v>13</v>
      </c>
      <c r="L17" s="67"/>
      <c r="M17" s="67"/>
      <c r="N17" s="67"/>
      <c r="O17" s="67"/>
      <c r="P17" s="67"/>
      <c r="Q17" s="67" t="s">
        <v>21</v>
      </c>
      <c r="R17" s="67"/>
      <c r="S17" s="68" t="s">
        <v>43</v>
      </c>
      <c r="T17" s="1"/>
      <c r="U17" s="1"/>
      <c r="V17" s="69"/>
      <c r="Z17" s="1"/>
      <c r="AA17" s="1"/>
      <c r="AB17" s="1"/>
      <c r="AC17" s="1"/>
      <c r="AD17" s="1"/>
      <c r="AE17" s="1"/>
      <c r="AF17" s="1"/>
      <c r="AG17" s="1"/>
    </row>
    <row r="18" customFormat="false" ht="13.5" hidden="false" customHeight="true" outlineLevel="0" collapsed="false">
      <c r="A18" s="70" t="s">
        <v>44</v>
      </c>
      <c r="B18" s="71" t="s">
        <v>42</v>
      </c>
      <c r="C18" s="71" t="s">
        <v>45</v>
      </c>
      <c r="D18" s="71"/>
      <c r="E18" s="71" t="s">
        <v>46</v>
      </c>
      <c r="F18" s="72" t="s">
        <v>47</v>
      </c>
      <c r="G18" s="72"/>
      <c r="H18" s="71" t="s">
        <v>48</v>
      </c>
      <c r="I18" s="71" t="s">
        <v>49</v>
      </c>
      <c r="J18" s="71" t="s">
        <v>50</v>
      </c>
      <c r="K18" s="71" t="s">
        <v>48</v>
      </c>
      <c r="L18" s="73" t="s">
        <v>51</v>
      </c>
      <c r="M18" s="71" t="s">
        <v>52</v>
      </c>
      <c r="N18" s="71" t="s">
        <v>53</v>
      </c>
      <c r="O18" s="74" t="s">
        <v>50</v>
      </c>
      <c r="P18" s="71" t="s">
        <v>54</v>
      </c>
      <c r="Q18" s="71" t="s">
        <v>48</v>
      </c>
      <c r="R18" s="71" t="s">
        <v>49</v>
      </c>
      <c r="S18" s="75" t="s">
        <v>45</v>
      </c>
      <c r="T18" s="1"/>
      <c r="U18" s="1"/>
      <c r="V18" s="69"/>
      <c r="Z18" s="1"/>
      <c r="AA18" s="1"/>
      <c r="AB18" s="1"/>
      <c r="AC18" s="1"/>
      <c r="AD18" s="1"/>
      <c r="AE18" s="1"/>
      <c r="AF18" s="1"/>
      <c r="AG18" s="1"/>
    </row>
    <row r="19" customFormat="false" ht="13.5" hidden="false" customHeight="true" outlineLevel="0" collapsed="false">
      <c r="A19" s="70"/>
      <c r="B19" s="71"/>
      <c r="C19" s="71"/>
      <c r="D19" s="71"/>
      <c r="E19" s="71"/>
      <c r="F19" s="71" t="s">
        <v>55</v>
      </c>
      <c r="G19" s="71" t="s">
        <v>56</v>
      </c>
      <c r="H19" s="71"/>
      <c r="I19" s="71"/>
      <c r="J19" s="71"/>
      <c r="K19" s="71"/>
      <c r="L19" s="73"/>
      <c r="M19" s="71"/>
      <c r="N19" s="71"/>
      <c r="O19" s="71" t="s">
        <v>57</v>
      </c>
      <c r="P19" s="71"/>
      <c r="Q19" s="71"/>
      <c r="R19" s="71"/>
      <c r="S19" s="75"/>
      <c r="T19" s="1"/>
      <c r="U19" s="1"/>
      <c r="V19" s="69"/>
      <c r="Z19" s="1"/>
      <c r="AA19" s="1"/>
      <c r="AB19" s="1"/>
      <c r="AC19" s="1"/>
      <c r="AD19" s="1"/>
      <c r="AE19" s="1"/>
      <c r="AF19" s="1"/>
      <c r="AG19" s="1"/>
    </row>
    <row r="20" customFormat="false" ht="15" hidden="false" customHeight="true" outlineLevel="0" collapsed="false">
      <c r="A20" s="76" t="n">
        <v>1</v>
      </c>
      <c r="B20" s="77" t="s">
        <v>58</v>
      </c>
      <c r="C20" s="78" t="s">
        <v>59</v>
      </c>
      <c r="D20" s="78"/>
      <c r="E20" s="79" t="n">
        <v>324</v>
      </c>
      <c r="F20" s="80" t="n">
        <v>0</v>
      </c>
      <c r="G20" s="81"/>
      <c r="H20" s="82" t="n">
        <f aca="false">G20</f>
        <v>0</v>
      </c>
      <c r="I20" s="83" t="n">
        <v>0.5</v>
      </c>
      <c r="J20" s="84" t="n">
        <f aca="false">N3+I20/24</f>
        <v>45489.2291666667</v>
      </c>
      <c r="K20" s="85" t="n">
        <v>0</v>
      </c>
      <c r="L20" s="86" t="n">
        <v>0.5</v>
      </c>
      <c r="M20" s="86"/>
      <c r="N20" s="87" t="n">
        <f aca="false">IF(L20="","",L20-I20)</f>
        <v>0</v>
      </c>
      <c r="O20" s="88" t="n">
        <f aca="false">IF(L20&lt;&gt;"",N3+L20/24,N3+I20/24)</f>
        <v>45489.2291666667</v>
      </c>
      <c r="P20" s="89"/>
      <c r="Q20" s="90" t="n">
        <f aca="false">H20</f>
        <v>0</v>
      </c>
      <c r="R20" s="91" t="n">
        <f aca="false">I20</f>
        <v>0.5</v>
      </c>
      <c r="S20" s="92"/>
      <c r="T20" s="1"/>
      <c r="U20" s="1"/>
      <c r="V20" s="69"/>
      <c r="Z20" s="1"/>
      <c r="AA20" s="1"/>
      <c r="AB20" s="1"/>
      <c r="AC20" s="1"/>
      <c r="AD20" s="1"/>
      <c r="AE20" s="1"/>
      <c r="AF20" s="1"/>
      <c r="AG20" s="1"/>
    </row>
    <row r="21" customFormat="false" ht="13.5" hidden="false" customHeight="true" outlineLevel="0" collapsed="false">
      <c r="A21" s="93" t="n">
        <f aca="false">A20+1</f>
        <v>2</v>
      </c>
      <c r="B21" s="94" t="s">
        <v>60</v>
      </c>
      <c r="C21" s="95" t="s">
        <v>61</v>
      </c>
      <c r="D21" s="95"/>
      <c r="E21" s="96" t="n">
        <f aca="false">E20</f>
        <v>324</v>
      </c>
      <c r="F21" s="97" t="n">
        <v>0</v>
      </c>
      <c r="G21" s="98" t="n">
        <v>80</v>
      </c>
      <c r="H21" s="99" t="n">
        <f aca="false">G21</f>
        <v>80</v>
      </c>
      <c r="I21" s="100" t="n">
        <v>2</v>
      </c>
      <c r="J21" s="101" t="n">
        <f aca="false">IF(I21&lt;&gt;"",J20+I21/24,"")</f>
        <v>45489.3125</v>
      </c>
      <c r="K21" s="102" t="n">
        <v>80</v>
      </c>
      <c r="L21" s="103" t="n">
        <v>2</v>
      </c>
      <c r="M21" s="103"/>
      <c r="N21" s="104" t="n">
        <f aca="false">IF(L21="","",L21-I21)</f>
        <v>0</v>
      </c>
      <c r="O21" s="105" t="n">
        <f aca="false">IF(L21&lt;&gt;"",O20+L21/24,O20+I21/24)</f>
        <v>45489.3125</v>
      </c>
      <c r="P21" s="106"/>
      <c r="Q21" s="107" t="n">
        <f aca="false">H21</f>
        <v>80</v>
      </c>
      <c r="R21" s="108" t="n">
        <f aca="false">I21</f>
        <v>2</v>
      </c>
      <c r="S21" s="109"/>
      <c r="T21" s="1"/>
      <c r="U21" s="1"/>
      <c r="V21" s="69"/>
      <c r="Z21" s="1"/>
      <c r="AA21" s="1"/>
      <c r="AB21" s="1"/>
      <c r="AC21" s="1"/>
      <c r="AD21" s="1"/>
      <c r="AE21" s="1"/>
      <c r="AF21" s="1"/>
      <c r="AG21" s="1"/>
    </row>
    <row r="22" customFormat="false" ht="30.75" hidden="false" customHeight="true" outlineLevel="0" collapsed="false">
      <c r="A22" s="93" t="n">
        <f aca="false">A21+1</f>
        <v>3</v>
      </c>
      <c r="B22" s="110" t="s">
        <v>62</v>
      </c>
      <c r="C22" s="111" t="s">
        <v>63</v>
      </c>
      <c r="D22" s="111"/>
      <c r="E22" s="112" t="n">
        <f aca="false">E21</f>
        <v>324</v>
      </c>
      <c r="F22" s="113" t="n">
        <v>0</v>
      </c>
      <c r="G22" s="114" t="n">
        <v>80</v>
      </c>
      <c r="H22" s="115" t="n">
        <f aca="false">H21</f>
        <v>80</v>
      </c>
      <c r="I22" s="100" t="n">
        <v>1</v>
      </c>
      <c r="J22" s="101" t="n">
        <f aca="false">IF(I22&lt;&gt;"",J21+I22/24,"")</f>
        <v>45489.3541666667</v>
      </c>
      <c r="K22" s="102" t="n">
        <v>80</v>
      </c>
      <c r="L22" s="103" t="n">
        <v>1</v>
      </c>
      <c r="M22" s="103"/>
      <c r="N22" s="104" t="n">
        <f aca="false">IF(L22="","",L22-I22)</f>
        <v>0</v>
      </c>
      <c r="O22" s="105" t="n">
        <f aca="false">IF(L22&lt;&gt;"",O21+L22/24,O21+I22/24)</f>
        <v>45489.3541666667</v>
      </c>
      <c r="P22" s="106"/>
      <c r="Q22" s="107" t="n">
        <f aca="false">H22</f>
        <v>80</v>
      </c>
      <c r="R22" s="108" t="n">
        <f aca="false">I22</f>
        <v>1</v>
      </c>
      <c r="S22" s="109"/>
      <c r="T22" s="1"/>
      <c r="U22" s="1"/>
      <c r="V22" s="69"/>
      <c r="Z22" s="1"/>
      <c r="AA22" s="1"/>
      <c r="AB22" s="1"/>
      <c r="AC22" s="1"/>
      <c r="AD22" s="1"/>
      <c r="AE22" s="1"/>
      <c r="AF22" s="1"/>
      <c r="AG22" s="1"/>
    </row>
    <row r="23" customFormat="false" ht="15" hidden="false" customHeight="true" outlineLevel="0" collapsed="false">
      <c r="A23" s="93" t="n">
        <f aca="false">A22+1</f>
        <v>4</v>
      </c>
      <c r="B23" s="110" t="s">
        <v>58</v>
      </c>
      <c r="C23" s="111" t="s">
        <v>64</v>
      </c>
      <c r="D23" s="111"/>
      <c r="E23" s="112" t="n">
        <f aca="false">E22</f>
        <v>324</v>
      </c>
      <c r="F23" s="113"/>
      <c r="G23" s="114"/>
      <c r="H23" s="115" t="n">
        <f aca="false">H22</f>
        <v>80</v>
      </c>
      <c r="I23" s="100" t="n">
        <v>0.5</v>
      </c>
      <c r="J23" s="101" t="n">
        <f aca="false">IF(I23&lt;&gt;"",J22+I23/24,"")</f>
        <v>45489.375</v>
      </c>
      <c r="K23" s="102" t="n">
        <v>80</v>
      </c>
      <c r="L23" s="103" t="n">
        <v>0.5</v>
      </c>
      <c r="M23" s="103"/>
      <c r="N23" s="104" t="n">
        <f aca="false">IF(L23="","",L23-I23)</f>
        <v>0</v>
      </c>
      <c r="O23" s="105" t="n">
        <f aca="false">IF(L23&lt;&gt;"",O22+L23/24,O22+I23/24)</f>
        <v>45489.375</v>
      </c>
      <c r="P23" s="106"/>
      <c r="Q23" s="107" t="n">
        <f aca="false">H23</f>
        <v>80</v>
      </c>
      <c r="R23" s="108" t="n">
        <f aca="false">I23</f>
        <v>0.5</v>
      </c>
      <c r="S23" s="109"/>
      <c r="T23" s="1"/>
      <c r="U23" s="1"/>
      <c r="V23" s="69"/>
      <c r="Z23" s="1"/>
      <c r="AA23" s="1"/>
      <c r="AB23" s="1"/>
      <c r="AC23" s="1"/>
      <c r="AD23" s="1"/>
      <c r="AE23" s="1"/>
      <c r="AF23" s="1"/>
      <c r="AG23" s="1"/>
    </row>
    <row r="24" customFormat="false" ht="12.75" hidden="false" customHeight="true" outlineLevel="0" collapsed="false">
      <c r="A24" s="93" t="n">
        <f aca="false">A23+1</f>
        <v>5</v>
      </c>
      <c r="B24" s="110" t="s">
        <v>65</v>
      </c>
      <c r="C24" s="111" t="s">
        <v>66</v>
      </c>
      <c r="D24" s="111"/>
      <c r="E24" s="112" t="n">
        <f aca="false">E23</f>
        <v>324</v>
      </c>
      <c r="F24" s="113"/>
      <c r="G24" s="114"/>
      <c r="H24" s="115" t="n">
        <f aca="false">H23</f>
        <v>80</v>
      </c>
      <c r="I24" s="100" t="n">
        <v>1</v>
      </c>
      <c r="J24" s="101" t="n">
        <f aca="false">IF(I24&lt;&gt;"",J23+I24/24,"")</f>
        <v>45489.4166666667</v>
      </c>
      <c r="K24" s="102" t="n">
        <v>80</v>
      </c>
      <c r="L24" s="103" t="n">
        <v>1</v>
      </c>
      <c r="M24" s="103"/>
      <c r="N24" s="104" t="n">
        <f aca="false">IF(L24="","",L24-I24)</f>
        <v>0</v>
      </c>
      <c r="O24" s="105" t="n">
        <f aca="false">IF(L24&lt;&gt;"",O23+L24/24,O23+I24/24)</f>
        <v>45489.4166666667</v>
      </c>
      <c r="P24" s="106"/>
      <c r="Q24" s="107" t="n">
        <f aca="false">H24</f>
        <v>80</v>
      </c>
      <c r="R24" s="108" t="n">
        <f aca="false">I24</f>
        <v>1</v>
      </c>
      <c r="S24" s="109"/>
      <c r="T24" s="1"/>
      <c r="U24" s="1"/>
      <c r="V24" s="69"/>
      <c r="Z24" s="1"/>
      <c r="AA24" s="1"/>
      <c r="AB24" s="1"/>
      <c r="AC24" s="1"/>
      <c r="AD24" s="1"/>
      <c r="AE24" s="1"/>
      <c r="AF24" s="1"/>
      <c r="AG24" s="1"/>
    </row>
    <row r="25" customFormat="false" ht="15" hidden="false" customHeight="true" outlineLevel="0" collapsed="false">
      <c r="A25" s="93" t="n">
        <f aca="false">A24+1</f>
        <v>6</v>
      </c>
      <c r="B25" s="110" t="s">
        <v>67</v>
      </c>
      <c r="C25" s="111" t="s">
        <v>68</v>
      </c>
      <c r="D25" s="111"/>
      <c r="E25" s="112" t="n">
        <f aca="false">E24</f>
        <v>324</v>
      </c>
      <c r="F25" s="113" t="n">
        <v>0</v>
      </c>
      <c r="G25" s="114" t="n">
        <v>80</v>
      </c>
      <c r="H25" s="115" t="n">
        <f aca="false">H24</f>
        <v>80</v>
      </c>
      <c r="I25" s="100" t="n">
        <v>2</v>
      </c>
      <c r="J25" s="101" t="n">
        <f aca="false">IF(I25&lt;&gt;"",J24+I25/24,"")</f>
        <v>45489.5</v>
      </c>
      <c r="K25" s="102" t="n">
        <v>80</v>
      </c>
      <c r="L25" s="103" t="n">
        <v>2</v>
      </c>
      <c r="M25" s="103"/>
      <c r="N25" s="104" t="n">
        <f aca="false">IF(L25="","",L25-I25)</f>
        <v>0</v>
      </c>
      <c r="O25" s="105" t="n">
        <f aca="false">IF(L25&lt;&gt;"",O24+L25/24,O24+I25/24)</f>
        <v>45489.5</v>
      </c>
      <c r="P25" s="116"/>
      <c r="Q25" s="107" t="n">
        <f aca="false">H25</f>
        <v>80</v>
      </c>
      <c r="R25" s="108" t="n">
        <f aca="false">I25</f>
        <v>2</v>
      </c>
      <c r="S25" s="109"/>
      <c r="T25" s="1"/>
      <c r="U25" s="1"/>
      <c r="V25" s="69"/>
      <c r="Z25" s="1"/>
      <c r="AA25" s="1"/>
      <c r="AB25" s="1"/>
      <c r="AC25" s="1"/>
      <c r="AD25" s="1"/>
      <c r="AE25" s="1"/>
      <c r="AF25" s="1"/>
      <c r="AG25" s="1"/>
    </row>
    <row r="26" customFormat="false" ht="19.5" hidden="false" customHeight="true" outlineLevel="0" collapsed="false">
      <c r="A26" s="93" t="n">
        <f aca="false">A25+1</f>
        <v>7</v>
      </c>
      <c r="B26" s="110" t="s">
        <v>69</v>
      </c>
      <c r="C26" s="111" t="s">
        <v>70</v>
      </c>
      <c r="D26" s="111"/>
      <c r="E26" s="112" t="n">
        <f aca="false">E25</f>
        <v>324</v>
      </c>
      <c r="F26" s="113"/>
      <c r="G26" s="114"/>
      <c r="H26" s="115" t="n">
        <f aca="false">H25</f>
        <v>80</v>
      </c>
      <c r="I26" s="100" t="n">
        <v>0.5</v>
      </c>
      <c r="J26" s="101" t="n">
        <f aca="false">IF(I26&lt;&gt;"",J25+I26/24,"")</f>
        <v>45489.5208333333</v>
      </c>
      <c r="K26" s="102" t="n">
        <v>80</v>
      </c>
      <c r="L26" s="103" t="n">
        <v>0.5</v>
      </c>
      <c r="M26" s="103"/>
      <c r="N26" s="104" t="n">
        <f aca="false">IF(L26="","",L26-I26)</f>
        <v>0</v>
      </c>
      <c r="O26" s="105" t="n">
        <f aca="false">IF(L26&lt;&gt;"",O25+L26/24,O25+I26/24)</f>
        <v>45489.5208333333</v>
      </c>
      <c r="P26" s="106"/>
      <c r="Q26" s="107" t="n">
        <f aca="false">H26</f>
        <v>80</v>
      </c>
      <c r="R26" s="108" t="n">
        <f aca="false">I26</f>
        <v>0.5</v>
      </c>
      <c r="S26" s="109"/>
      <c r="T26" s="1"/>
      <c r="U26" s="1"/>
      <c r="V26" s="69"/>
      <c r="Z26" s="1"/>
      <c r="AA26" s="1"/>
      <c r="AB26" s="1"/>
      <c r="AC26" s="1"/>
      <c r="AD26" s="1"/>
      <c r="AE26" s="1"/>
      <c r="AF26" s="1"/>
      <c r="AG26" s="1"/>
    </row>
    <row r="27" customFormat="false" ht="13.5" hidden="false" customHeight="true" outlineLevel="0" collapsed="false">
      <c r="A27" s="93" t="n">
        <f aca="false">A26+1</f>
        <v>8</v>
      </c>
      <c r="B27" s="110" t="s">
        <v>67</v>
      </c>
      <c r="C27" s="111" t="s">
        <v>71</v>
      </c>
      <c r="D27" s="111"/>
      <c r="E27" s="112" t="n">
        <f aca="false">E26</f>
        <v>324</v>
      </c>
      <c r="F27" s="113"/>
      <c r="G27" s="114"/>
      <c r="H27" s="115" t="n">
        <f aca="false">H26</f>
        <v>80</v>
      </c>
      <c r="I27" s="100" t="n">
        <v>1.5</v>
      </c>
      <c r="J27" s="101" t="n">
        <f aca="false">IF(I27&lt;&gt;"",J26+I27/24,"")</f>
        <v>45489.5833333333</v>
      </c>
      <c r="K27" s="102" t="n">
        <v>80</v>
      </c>
      <c r="L27" s="103" t="n">
        <v>1.5</v>
      </c>
      <c r="M27" s="103"/>
      <c r="N27" s="104" t="n">
        <f aca="false">IF(L27="","",L27-I27)</f>
        <v>0</v>
      </c>
      <c r="O27" s="105" t="n">
        <f aca="false">IF(L27&lt;&gt;"",O26+L27/24,O26+I27/24)</f>
        <v>45489.5833333333</v>
      </c>
      <c r="P27" s="106" t="s">
        <v>72</v>
      </c>
      <c r="Q27" s="107" t="n">
        <f aca="false">H27</f>
        <v>80</v>
      </c>
      <c r="R27" s="108" t="n">
        <f aca="false">I27</f>
        <v>1.5</v>
      </c>
      <c r="S27" s="109"/>
      <c r="T27" s="1"/>
      <c r="U27" s="1"/>
      <c r="V27" s="69"/>
      <c r="Z27" s="1"/>
      <c r="AA27" s="1"/>
      <c r="AB27" s="1"/>
      <c r="AC27" s="1"/>
      <c r="AD27" s="1"/>
      <c r="AE27" s="1"/>
      <c r="AF27" s="1"/>
      <c r="AG27" s="1"/>
    </row>
    <row r="28" customFormat="false" ht="18" hidden="false" customHeight="true" outlineLevel="0" collapsed="false">
      <c r="A28" s="93" t="n">
        <f aca="false">A27+1</f>
        <v>9</v>
      </c>
      <c r="B28" s="110" t="s">
        <v>73</v>
      </c>
      <c r="C28" s="111" t="s">
        <v>74</v>
      </c>
      <c r="D28" s="111"/>
      <c r="E28" s="112" t="n">
        <f aca="false">E27</f>
        <v>324</v>
      </c>
      <c r="F28" s="113"/>
      <c r="G28" s="114"/>
      <c r="H28" s="115" t="n">
        <f aca="false">H27</f>
        <v>80</v>
      </c>
      <c r="I28" s="100" t="n">
        <v>8</v>
      </c>
      <c r="J28" s="101" t="n">
        <f aca="false">IF(I28&lt;&gt;"",J27+I28/24,"")</f>
        <v>45489.9166666667</v>
      </c>
      <c r="K28" s="102" t="n">
        <v>80</v>
      </c>
      <c r="L28" s="103" t="n">
        <v>8</v>
      </c>
      <c r="M28" s="103"/>
      <c r="N28" s="104" t="n">
        <f aca="false">IF(L28="","",L28-I28)</f>
        <v>0</v>
      </c>
      <c r="O28" s="105" t="n">
        <f aca="false">IF(L28&lt;&gt;"",O27+L28/24,O27+I28/24)</f>
        <v>45489.9166666667</v>
      </c>
      <c r="P28" s="117"/>
      <c r="Q28" s="107" t="n">
        <f aca="false">H28</f>
        <v>80</v>
      </c>
      <c r="R28" s="108" t="n">
        <f aca="false">I28</f>
        <v>8</v>
      </c>
      <c r="S28" s="109"/>
      <c r="T28" s="1"/>
      <c r="U28" s="1"/>
      <c r="V28" s="69"/>
      <c r="Y28" s="2" t="s">
        <v>75</v>
      </c>
      <c r="Z28" s="1"/>
      <c r="AA28" s="1"/>
      <c r="AB28" s="1"/>
      <c r="AC28" s="1"/>
      <c r="AD28" s="1"/>
      <c r="AE28" s="1"/>
      <c r="AF28" s="1"/>
      <c r="AG28" s="1"/>
    </row>
    <row r="29" customFormat="false" ht="15" hidden="false" customHeight="true" outlineLevel="0" collapsed="false">
      <c r="A29" s="93" t="n">
        <f aca="false">A28+1</f>
        <v>10</v>
      </c>
      <c r="B29" s="110" t="s">
        <v>76</v>
      </c>
      <c r="C29" s="111" t="s">
        <v>77</v>
      </c>
      <c r="D29" s="111"/>
      <c r="E29" s="112" t="n">
        <f aca="false">E28</f>
        <v>324</v>
      </c>
      <c r="F29" s="113"/>
      <c r="G29" s="114"/>
      <c r="H29" s="115" t="n">
        <f aca="false">H28</f>
        <v>80</v>
      </c>
      <c r="I29" s="100" t="n">
        <v>12</v>
      </c>
      <c r="J29" s="101" t="n">
        <f aca="false">IF(I29&lt;&gt;"",J28+I29/24,"")</f>
        <v>45490.4166666667</v>
      </c>
      <c r="K29" s="102" t="n">
        <v>80</v>
      </c>
      <c r="L29" s="103" t="n">
        <v>9</v>
      </c>
      <c r="M29" s="103"/>
      <c r="N29" s="104" t="n">
        <f aca="false">IF(L29="","",L29-I29)</f>
        <v>-3</v>
      </c>
      <c r="O29" s="105" t="n">
        <f aca="false">IF(L29&lt;&gt;"",O28+L29/24,O28+I29/24)</f>
        <v>45490.2916666667</v>
      </c>
      <c r="P29" s="106"/>
      <c r="Q29" s="107" t="n">
        <f aca="false">H29</f>
        <v>80</v>
      </c>
      <c r="R29" s="108" t="n">
        <f aca="false">I29</f>
        <v>12</v>
      </c>
      <c r="S29" s="109"/>
      <c r="T29" s="1"/>
      <c r="U29" s="118" t="n">
        <f aca="false">60/(3+3)*12.5</f>
        <v>125</v>
      </c>
      <c r="V29" s="119" t="n">
        <f aca="false">(G29-F29)/I29</f>
        <v>0</v>
      </c>
      <c r="W29" s="120" t="n">
        <f aca="false">(G29-F29)/L29</f>
        <v>0</v>
      </c>
      <c r="Y29" s="121" t="n">
        <f aca="false">(G29-F29)/U29</f>
        <v>0</v>
      </c>
      <c r="Z29" s="1"/>
      <c r="AA29" s="1"/>
      <c r="AB29" s="1"/>
      <c r="AC29" s="1"/>
      <c r="AD29" s="1"/>
      <c r="AE29" s="1"/>
      <c r="AF29" s="1"/>
      <c r="AG29" s="1"/>
    </row>
    <row r="30" customFormat="false" ht="13.5" hidden="false" customHeight="true" outlineLevel="0" collapsed="false">
      <c r="A30" s="93" t="n">
        <f aca="false">A29+1</f>
        <v>11</v>
      </c>
      <c r="B30" s="110" t="s">
        <v>58</v>
      </c>
      <c r="C30" s="111" t="s">
        <v>78</v>
      </c>
      <c r="D30" s="111"/>
      <c r="E30" s="112" t="n">
        <f aca="false">D6</f>
        <v>244.5</v>
      </c>
      <c r="F30" s="113"/>
      <c r="G30" s="114"/>
      <c r="H30" s="115" t="n">
        <f aca="false">H29</f>
        <v>80</v>
      </c>
      <c r="I30" s="100" t="n">
        <v>3</v>
      </c>
      <c r="J30" s="101" t="n">
        <f aca="false">IF(I30&lt;&gt;"",J29+I30/24,"")</f>
        <v>45490.5416666667</v>
      </c>
      <c r="K30" s="102" t="n">
        <v>80</v>
      </c>
      <c r="L30" s="103" t="n">
        <v>2.5</v>
      </c>
      <c r="M30" s="103"/>
      <c r="N30" s="104" t="n">
        <f aca="false">IF(L30="","",L30-I30)</f>
        <v>-0.5</v>
      </c>
      <c r="O30" s="105" t="n">
        <f aca="false">IF(L30&lt;&gt;"",O29+L30/24,O29+I30/24)</f>
        <v>45490.3958333333</v>
      </c>
      <c r="P30" s="106"/>
      <c r="Q30" s="107" t="n">
        <f aca="false">H30</f>
        <v>80</v>
      </c>
      <c r="R30" s="108" t="n">
        <f aca="false">I30</f>
        <v>3</v>
      </c>
      <c r="S30" s="109"/>
      <c r="T30" s="1"/>
      <c r="U30" s="1"/>
      <c r="V30" s="69"/>
      <c r="Z30" s="1"/>
      <c r="AA30" s="1"/>
      <c r="AB30" s="1"/>
      <c r="AC30" s="1"/>
      <c r="AD30" s="1"/>
      <c r="AE30" s="1"/>
      <c r="AF30" s="1"/>
      <c r="AG30" s="1"/>
    </row>
    <row r="31" customFormat="false" ht="11.25" hidden="false" customHeight="true" outlineLevel="0" collapsed="false">
      <c r="A31" s="93" t="n">
        <f aca="false">A30+1</f>
        <v>12</v>
      </c>
      <c r="B31" s="110" t="s">
        <v>76</v>
      </c>
      <c r="C31" s="111" t="s">
        <v>79</v>
      </c>
      <c r="D31" s="111"/>
      <c r="E31" s="112" t="n">
        <f aca="false">E30</f>
        <v>244.5</v>
      </c>
      <c r="F31" s="113" t="n">
        <v>0</v>
      </c>
      <c r="G31" s="114" t="n">
        <v>80</v>
      </c>
      <c r="H31" s="115" t="n">
        <f aca="false">H30</f>
        <v>80</v>
      </c>
      <c r="I31" s="100" t="n">
        <v>0.5</v>
      </c>
      <c r="J31" s="101" t="n">
        <f aca="false">IF(I31&lt;&gt;"",J30+I31/24,"")</f>
        <v>45490.5625</v>
      </c>
      <c r="K31" s="102" t="n">
        <v>80</v>
      </c>
      <c r="L31" s="103" t="n">
        <v>0.25</v>
      </c>
      <c r="M31" s="103"/>
      <c r="N31" s="104" t="n">
        <f aca="false">IF(L31="","",L31-I31)</f>
        <v>-0.25</v>
      </c>
      <c r="O31" s="105" t="n">
        <f aca="false">IF(L31&lt;&gt;"",O30+L31/24,O30+I31/24)</f>
        <v>45490.40625</v>
      </c>
      <c r="P31" s="106"/>
      <c r="Q31" s="107" t="n">
        <f aca="false">H31</f>
        <v>80</v>
      </c>
      <c r="R31" s="108" t="n">
        <f aca="false">I31</f>
        <v>0.5</v>
      </c>
      <c r="S31" s="109"/>
      <c r="T31" s="1"/>
      <c r="U31" s="1"/>
      <c r="V31" s="69"/>
      <c r="Z31" s="1"/>
      <c r="AA31" s="1"/>
      <c r="AB31" s="1"/>
      <c r="AC31" s="1"/>
      <c r="AD31" s="1"/>
      <c r="AE31" s="26" t="s">
        <v>80</v>
      </c>
      <c r="AF31" s="1"/>
      <c r="AG31" s="1"/>
    </row>
    <row r="32" customFormat="false" ht="12.75" hidden="false" customHeight="true" outlineLevel="0" collapsed="false">
      <c r="A32" s="93" t="n">
        <f aca="false">A31+1</f>
        <v>13</v>
      </c>
      <c r="B32" s="110" t="s">
        <v>60</v>
      </c>
      <c r="C32" s="111" t="s">
        <v>81</v>
      </c>
      <c r="D32" s="111"/>
      <c r="E32" s="112" t="n">
        <f aca="false">E31</f>
        <v>244.5</v>
      </c>
      <c r="F32" s="113" t="n">
        <v>75</v>
      </c>
      <c r="G32" s="114" t="n">
        <v>81</v>
      </c>
      <c r="H32" s="115" t="n">
        <f aca="false">G32</f>
        <v>81</v>
      </c>
      <c r="I32" s="100" t="n">
        <v>1</v>
      </c>
      <c r="J32" s="101" t="n">
        <f aca="false">IF(I32&lt;&gt;"",J31+I32/24,"")</f>
        <v>45490.6041666667</v>
      </c>
      <c r="K32" s="102" t="n">
        <v>80</v>
      </c>
      <c r="L32" s="103" t="n">
        <v>1</v>
      </c>
      <c r="M32" s="122"/>
      <c r="N32" s="104" t="n">
        <f aca="false">IF(L32="","",L32-I32)</f>
        <v>0</v>
      </c>
      <c r="O32" s="105" t="n">
        <f aca="false">IF(L32&lt;&gt;"",O31+L32/24,O31+I32/24)</f>
        <v>45490.4479166667</v>
      </c>
      <c r="P32" s="117"/>
      <c r="Q32" s="107" t="n">
        <f aca="false">H32</f>
        <v>81</v>
      </c>
      <c r="R32" s="108" t="n">
        <f aca="false">I32</f>
        <v>1</v>
      </c>
      <c r="S32" s="109"/>
      <c r="T32" s="1"/>
      <c r="U32" s="1" t="s">
        <v>82</v>
      </c>
      <c r="V32" s="69" t="s">
        <v>83</v>
      </c>
      <c r="W32" s="123" t="s">
        <v>84</v>
      </c>
      <c r="Y32" s="2" t="s">
        <v>85</v>
      </c>
      <c r="Z32" s="1" t="s">
        <v>86</v>
      </c>
      <c r="AA32" s="1" t="s">
        <v>87</v>
      </c>
      <c r="AB32" s="1" t="s">
        <v>88</v>
      </c>
      <c r="AC32" s="1" t="s">
        <v>89</v>
      </c>
      <c r="AD32" s="1" t="s">
        <v>90</v>
      </c>
      <c r="AE32" s="1" t="n">
        <v>80</v>
      </c>
      <c r="AF32" s="1"/>
      <c r="AG32" s="1" t="s">
        <v>91</v>
      </c>
    </row>
    <row r="33" customFormat="false" ht="15" hidden="false" customHeight="true" outlineLevel="0" collapsed="false">
      <c r="A33" s="93" t="n">
        <f aca="false">A32+1</f>
        <v>14</v>
      </c>
      <c r="B33" s="110" t="s">
        <v>92</v>
      </c>
      <c r="C33" s="111" t="s">
        <v>93</v>
      </c>
      <c r="D33" s="111"/>
      <c r="E33" s="112" t="n">
        <v>245</v>
      </c>
      <c r="F33" s="113"/>
      <c r="G33" s="114"/>
      <c r="H33" s="115" t="n">
        <f aca="false">H32</f>
        <v>81</v>
      </c>
      <c r="I33" s="100" t="n">
        <v>1</v>
      </c>
      <c r="J33" s="101" t="n">
        <f aca="false">IF(I33&lt;&gt;"",J32+I33/24,"")</f>
        <v>45490.6458333333</v>
      </c>
      <c r="K33" s="102" t="n">
        <v>80</v>
      </c>
      <c r="L33" s="103" t="n">
        <v>0.5</v>
      </c>
      <c r="M33" s="122"/>
      <c r="N33" s="104" t="n">
        <f aca="false">IF(L33="","",L33-I33)</f>
        <v>-0.5</v>
      </c>
      <c r="O33" s="105" t="n">
        <f aca="false">IF(L33&lt;&gt;"",O32+L33/24,O32+I33/24)</f>
        <v>45490.46875</v>
      </c>
      <c r="P33" s="117"/>
      <c r="Q33" s="107" t="n">
        <f aca="false">H33</f>
        <v>81</v>
      </c>
      <c r="R33" s="108" t="n">
        <f aca="false">I33</f>
        <v>1</v>
      </c>
      <c r="S33" s="109"/>
      <c r="T33" s="1"/>
      <c r="U33" s="124" t="n">
        <v>32</v>
      </c>
      <c r="V33" s="119" t="n">
        <f aca="false">(G33-F33)/I33</f>
        <v>0</v>
      </c>
      <c r="W33" s="125" t="n">
        <f aca="false">(K33-K32)/(L33-M33)</f>
        <v>0</v>
      </c>
      <c r="X33" s="120"/>
      <c r="Y33" s="120" t="n">
        <f aca="false">(G33-F33)/25.5</f>
        <v>0</v>
      </c>
      <c r="Z33" s="126" t="n">
        <f aca="false">Y33*0.15*$E$15</f>
        <v>0</v>
      </c>
      <c r="AA33" s="124" t="n">
        <f aca="false">Y33*5/60</f>
        <v>0</v>
      </c>
      <c r="AB33" s="124" t="n">
        <f aca="false">(G33-F33)*0.33/8*5/60</f>
        <v>0</v>
      </c>
      <c r="AC33" s="124"/>
      <c r="AD33" s="124" t="n">
        <f aca="false">(300^2-127^2)*3.14/4/10^6*200/70/60*1000</f>
        <v>2.76136833333333</v>
      </c>
      <c r="AE33" s="124" t="n">
        <f aca="false">(G33-F33)/AE32</f>
        <v>0</v>
      </c>
      <c r="AF33" s="1"/>
      <c r="AG33" s="124" t="n">
        <f aca="false">SUM(Z33:AE33)</f>
        <v>2.76136833333333</v>
      </c>
    </row>
    <row r="34" customFormat="false" ht="37.5" hidden="false" customHeight="true" outlineLevel="0" collapsed="false">
      <c r="A34" s="93" t="n">
        <f aca="false">A33+1</f>
        <v>15</v>
      </c>
      <c r="B34" s="94" t="s">
        <v>60</v>
      </c>
      <c r="C34" s="95" t="s">
        <v>94</v>
      </c>
      <c r="D34" s="95"/>
      <c r="E34" s="96" t="n">
        <f aca="false">E33</f>
        <v>245</v>
      </c>
      <c r="F34" s="97" t="n">
        <v>81</v>
      </c>
      <c r="G34" s="98" t="n">
        <f aca="false">E6</f>
        <v>1500</v>
      </c>
      <c r="H34" s="127" t="n">
        <f aca="false">G34</f>
        <v>1500</v>
      </c>
      <c r="I34" s="100" t="n">
        <v>45</v>
      </c>
      <c r="J34" s="101" t="n">
        <f aca="false">IF(I34&lt;&gt;"",J33+I34/24,"")</f>
        <v>45492.5208333333</v>
      </c>
      <c r="K34" s="102" t="n">
        <v>1500</v>
      </c>
      <c r="L34" s="103" t="n">
        <v>45</v>
      </c>
      <c r="M34" s="122" t="n">
        <v>1.75</v>
      </c>
      <c r="N34" s="104" t="n">
        <f aca="false">IF(L34="","",L34-I34)</f>
        <v>0</v>
      </c>
      <c r="O34" s="105" t="n">
        <f aca="false">IF(L34&lt;&gt;"",O33+L34/24,O33+I34/24)</f>
        <v>45492.34375</v>
      </c>
      <c r="P34" s="128" t="s">
        <v>95</v>
      </c>
      <c r="Q34" s="129" t="n">
        <f aca="false">H34</f>
        <v>1500</v>
      </c>
      <c r="R34" s="108" t="n">
        <f aca="false">I34</f>
        <v>45</v>
      </c>
      <c r="S34" s="109"/>
      <c r="T34" s="1"/>
      <c r="U34" s="124"/>
      <c r="V34" s="119"/>
      <c r="W34" s="125"/>
      <c r="X34" s="120"/>
      <c r="Y34" s="130" t="s">
        <v>75</v>
      </c>
      <c r="Z34" s="1"/>
      <c r="AA34" s="1"/>
      <c r="AB34" s="1"/>
      <c r="AC34" s="1"/>
      <c r="AD34" s="1"/>
      <c r="AE34" s="1"/>
      <c r="AF34" s="1"/>
      <c r="AG34" s="1"/>
    </row>
    <row r="35" customFormat="false" ht="15.75" hidden="false" customHeight="true" outlineLevel="0" collapsed="false">
      <c r="A35" s="93" t="n">
        <f aca="false">A34+1</f>
        <v>16</v>
      </c>
      <c r="B35" s="110" t="s">
        <v>69</v>
      </c>
      <c r="C35" s="111" t="s">
        <v>96</v>
      </c>
      <c r="D35" s="111"/>
      <c r="E35" s="112" t="n">
        <f aca="false">E34</f>
        <v>245</v>
      </c>
      <c r="F35" s="113"/>
      <c r="G35" s="114"/>
      <c r="H35" s="113" t="n">
        <f aca="false">H34</f>
        <v>1500</v>
      </c>
      <c r="I35" s="100" t="n">
        <v>2</v>
      </c>
      <c r="J35" s="101" t="n">
        <f aca="false">IF(I35&lt;&gt;"",J34+I35/24,"")</f>
        <v>45492.6041666667</v>
      </c>
      <c r="K35" s="102" t="n">
        <v>1500</v>
      </c>
      <c r="L35" s="103" t="n">
        <v>2</v>
      </c>
      <c r="M35" s="103"/>
      <c r="N35" s="104" t="n">
        <f aca="false">IF(L35="","",L35-I35)</f>
        <v>0</v>
      </c>
      <c r="O35" s="105" t="n">
        <f aca="false">IF(L35&lt;&gt;"",O34+L35/24,O34+I35/24)</f>
        <v>45492.4270833333</v>
      </c>
      <c r="P35" s="128"/>
      <c r="Q35" s="129" t="n">
        <f aca="false">H35</f>
        <v>1500</v>
      </c>
      <c r="R35" s="108" t="n">
        <f aca="false">I35</f>
        <v>2</v>
      </c>
      <c r="S35" s="109"/>
      <c r="T35" s="1"/>
      <c r="U35" s="124" t="n">
        <v>200</v>
      </c>
      <c r="V35" s="119" t="n">
        <f aca="false">(G35-F35)/I35</f>
        <v>0</v>
      </c>
      <c r="W35" s="125" t="n">
        <f aca="false">(K35-K32)/(L35-M35)</f>
        <v>710</v>
      </c>
      <c r="X35" s="120"/>
      <c r="Y35" s="130" t="n">
        <f aca="false">ROUNDDOWN(0.089*$E$15*(F35-G35)/25.5,2)</f>
        <v>0</v>
      </c>
      <c r="Z35" s="1"/>
      <c r="AA35" s="1"/>
      <c r="AB35" s="1"/>
      <c r="AC35" s="1"/>
      <c r="AD35" s="1"/>
      <c r="AE35" s="1"/>
      <c r="AF35" s="1"/>
      <c r="AG35" s="1"/>
    </row>
    <row r="36" customFormat="false" ht="15.75" hidden="false" customHeight="true" outlineLevel="0" collapsed="false">
      <c r="A36" s="93" t="n">
        <f aca="false">A35+1</f>
        <v>17</v>
      </c>
      <c r="B36" s="110" t="s">
        <v>76</v>
      </c>
      <c r="C36" s="111" t="s">
        <v>97</v>
      </c>
      <c r="D36" s="111"/>
      <c r="E36" s="112" t="n">
        <f aca="false">E35</f>
        <v>245</v>
      </c>
      <c r="F36" s="113" t="n">
        <f aca="false">G34</f>
        <v>1500</v>
      </c>
      <c r="G36" s="114" t="n">
        <v>80</v>
      </c>
      <c r="H36" s="113" t="n">
        <f aca="false">H35</f>
        <v>1500</v>
      </c>
      <c r="I36" s="100" t="n">
        <v>8</v>
      </c>
      <c r="J36" s="101" t="n">
        <f aca="false">IF(I36&lt;&gt;"",J35+I36/24,"")</f>
        <v>45492.9375</v>
      </c>
      <c r="K36" s="102" t="n">
        <v>1500</v>
      </c>
      <c r="L36" s="103" t="n">
        <v>8</v>
      </c>
      <c r="M36" s="103"/>
      <c r="N36" s="104" t="n">
        <f aca="false">IF(L36="","",L36-I36)</f>
        <v>0</v>
      </c>
      <c r="O36" s="105" t="n">
        <f aca="false">IF(L36&lt;&gt;"",O35+L36/24,O35+I36/24)</f>
        <v>45492.7604166667</v>
      </c>
      <c r="P36" s="128"/>
      <c r="Q36" s="129" t="n">
        <f aca="false">H36</f>
        <v>1500</v>
      </c>
      <c r="R36" s="108" t="n">
        <f aca="false">I36</f>
        <v>8</v>
      </c>
      <c r="S36" s="109"/>
      <c r="T36" s="1"/>
      <c r="U36" s="124" t="n">
        <v>250</v>
      </c>
      <c r="V36" s="119" t="n">
        <f aca="false">(G36-F36)/I36</f>
        <v>-177.5</v>
      </c>
      <c r="W36" s="125" t="n">
        <f aca="false">(K36-K32)/(L36-M36)</f>
        <v>177.5</v>
      </c>
      <c r="X36" s="120"/>
      <c r="Y36" s="130" t="n">
        <f aca="false">ROUNDDOWN(0.085*$E$15*(G36-F36)/25.5,2)</f>
        <v>-4.73</v>
      </c>
      <c r="Z36" s="1"/>
      <c r="AA36" s="1"/>
      <c r="AB36" s="1"/>
      <c r="AC36" s="1"/>
      <c r="AD36" s="1"/>
      <c r="AE36" s="1"/>
      <c r="AF36" s="1"/>
      <c r="AG36" s="1"/>
    </row>
    <row r="37" customFormat="false" ht="15.75" hidden="false" customHeight="true" outlineLevel="0" collapsed="false">
      <c r="A37" s="93" t="n">
        <f aca="false">A36+1</f>
        <v>18</v>
      </c>
      <c r="B37" s="110" t="s">
        <v>76</v>
      </c>
      <c r="C37" s="111" t="s">
        <v>98</v>
      </c>
      <c r="D37" s="111"/>
      <c r="E37" s="112" t="n">
        <f aca="false">E36</f>
        <v>245</v>
      </c>
      <c r="F37" s="113" t="n">
        <v>80</v>
      </c>
      <c r="G37" s="114" t="n">
        <f aca="false">G34</f>
        <v>1500</v>
      </c>
      <c r="H37" s="113" t="n">
        <f aca="false">H36</f>
        <v>1500</v>
      </c>
      <c r="I37" s="100" t="n">
        <v>7</v>
      </c>
      <c r="J37" s="101" t="n">
        <f aca="false">IF(I37&lt;&gt;"",J36+I37/24,"")</f>
        <v>45493.2291666667</v>
      </c>
      <c r="K37" s="102" t="n">
        <v>1500</v>
      </c>
      <c r="L37" s="103" t="n">
        <v>5.75</v>
      </c>
      <c r="M37" s="103"/>
      <c r="N37" s="104" t="n">
        <f aca="false">IF(L37="","",L37-I37)</f>
        <v>-1.25</v>
      </c>
      <c r="O37" s="105" t="n">
        <f aca="false">IF(L37&lt;&gt;"",O36+L37/24,O36+I37/24)</f>
        <v>45493</v>
      </c>
      <c r="P37" s="128"/>
      <c r="Q37" s="129" t="n">
        <f aca="false">H37</f>
        <v>1500</v>
      </c>
      <c r="R37" s="108" t="n">
        <f aca="false">I37</f>
        <v>7</v>
      </c>
      <c r="S37" s="109"/>
      <c r="T37" s="1"/>
      <c r="U37" s="124"/>
      <c r="V37" s="119"/>
      <c r="W37" s="125"/>
      <c r="X37" s="120"/>
      <c r="Z37" s="1"/>
      <c r="AA37" s="1"/>
      <c r="AB37" s="1"/>
      <c r="AC37" s="1"/>
      <c r="AD37" s="1"/>
      <c r="AE37" s="1"/>
      <c r="AF37" s="1"/>
      <c r="AG37" s="1"/>
    </row>
    <row r="38" customFormat="false" ht="15.75" hidden="false" customHeight="true" outlineLevel="0" collapsed="false">
      <c r="A38" s="93" t="n">
        <f aca="false">A37+1</f>
        <v>19</v>
      </c>
      <c r="B38" s="110" t="s">
        <v>69</v>
      </c>
      <c r="C38" s="111" t="s">
        <v>99</v>
      </c>
      <c r="D38" s="111"/>
      <c r="E38" s="112" t="n">
        <f aca="false">E37</f>
        <v>245</v>
      </c>
      <c r="F38" s="113"/>
      <c r="G38" s="114"/>
      <c r="H38" s="113" t="n">
        <f aca="false">H37</f>
        <v>1500</v>
      </c>
      <c r="I38" s="100" t="n">
        <v>2</v>
      </c>
      <c r="J38" s="101" t="n">
        <f aca="false">IF(I38&lt;&gt;"",J37+I38/24,"")</f>
        <v>45493.3125</v>
      </c>
      <c r="K38" s="102" t="n">
        <v>1500</v>
      </c>
      <c r="L38" s="103" t="n">
        <v>2</v>
      </c>
      <c r="M38" s="103"/>
      <c r="N38" s="104" t="n">
        <f aca="false">IF(L38="","",L38-I38)</f>
        <v>0</v>
      </c>
      <c r="O38" s="105" t="n">
        <f aca="false">IF(L38&lt;&gt;"",O37+L38/24,O37+I38/24)</f>
        <v>45493.0833333334</v>
      </c>
      <c r="P38" s="128"/>
      <c r="Q38" s="129" t="n">
        <f aca="false">H38</f>
        <v>1500</v>
      </c>
      <c r="R38" s="108" t="n">
        <f aca="false">I38</f>
        <v>2</v>
      </c>
      <c r="S38" s="109"/>
      <c r="T38" s="1"/>
      <c r="U38" s="124" t="n">
        <v>270</v>
      </c>
      <c r="V38" s="119" t="n">
        <f aca="false">(G38-F38)/I38</f>
        <v>0</v>
      </c>
      <c r="W38" s="125" t="n">
        <f aca="false">K38/(L38-M38)</f>
        <v>750</v>
      </c>
      <c r="X38" s="120"/>
      <c r="Z38" s="1"/>
      <c r="AA38" s="1"/>
      <c r="AB38" s="1"/>
      <c r="AC38" s="1"/>
      <c r="AD38" s="1"/>
      <c r="AE38" s="1"/>
      <c r="AF38" s="1"/>
      <c r="AG38" s="1"/>
    </row>
    <row r="39" customFormat="false" ht="15.75" hidden="false" customHeight="true" outlineLevel="0" collapsed="false">
      <c r="A39" s="93" t="n">
        <f aca="false">A38+1</f>
        <v>20</v>
      </c>
      <c r="B39" s="110" t="s">
        <v>76</v>
      </c>
      <c r="C39" s="111" t="s">
        <v>100</v>
      </c>
      <c r="D39" s="111"/>
      <c r="E39" s="112" t="n">
        <f aca="false">E38</f>
        <v>245</v>
      </c>
      <c r="F39" s="113" t="n">
        <f aca="false">G37</f>
        <v>1500</v>
      </c>
      <c r="G39" s="114" t="n">
        <v>0</v>
      </c>
      <c r="H39" s="113" t="n">
        <f aca="false">H38</f>
        <v>1500</v>
      </c>
      <c r="I39" s="100" t="n">
        <v>7</v>
      </c>
      <c r="J39" s="101" t="n">
        <f aca="false">IF(I39&lt;&gt;"",J38+I39/24,"")</f>
        <v>45493.6041666667</v>
      </c>
      <c r="K39" s="102" t="n">
        <v>1500</v>
      </c>
      <c r="L39" s="103" t="n">
        <v>4.5</v>
      </c>
      <c r="M39" s="103"/>
      <c r="N39" s="104" t="n">
        <f aca="false">IF(L39="","",L39-I39)</f>
        <v>-2.5</v>
      </c>
      <c r="O39" s="105" t="n">
        <f aca="false">IF(L39&lt;&gt;"",O38+L39/24,O38+I39/24)</f>
        <v>45493.2708333334</v>
      </c>
      <c r="P39" s="106"/>
      <c r="Q39" s="129" t="n">
        <f aca="false">H39</f>
        <v>1500</v>
      </c>
      <c r="R39" s="108" t="n">
        <f aca="false">I39</f>
        <v>7</v>
      </c>
      <c r="S39" s="109"/>
      <c r="T39" s="1"/>
      <c r="U39" s="124"/>
      <c r="V39" s="119"/>
      <c r="W39" s="125"/>
      <c r="X39" s="120"/>
      <c r="Z39" s="1"/>
      <c r="AA39" s="1"/>
      <c r="AB39" s="1"/>
      <c r="AC39" s="1"/>
      <c r="AD39" s="1"/>
      <c r="AE39" s="1"/>
      <c r="AF39" s="1"/>
      <c r="AG39" s="1"/>
    </row>
    <row r="40" customFormat="false" ht="15.75" hidden="false" customHeight="true" outlineLevel="0" collapsed="false">
      <c r="A40" s="93" t="n">
        <f aca="false">A39+1</f>
        <v>21</v>
      </c>
      <c r="B40" s="110" t="s">
        <v>58</v>
      </c>
      <c r="C40" s="111" t="s">
        <v>101</v>
      </c>
      <c r="D40" s="111"/>
      <c r="E40" s="112" t="n">
        <f aca="false">E39</f>
        <v>245</v>
      </c>
      <c r="F40" s="113"/>
      <c r="G40" s="114"/>
      <c r="H40" s="113" t="n">
        <f aca="false">H39</f>
        <v>1500</v>
      </c>
      <c r="I40" s="100" t="n">
        <v>3</v>
      </c>
      <c r="J40" s="101" t="n">
        <f aca="false">IF(I40&lt;&gt;"",J39+I40/24,"")</f>
        <v>45493.7291666667</v>
      </c>
      <c r="K40" s="102" t="n">
        <v>1500</v>
      </c>
      <c r="L40" s="103" t="n">
        <v>3</v>
      </c>
      <c r="M40" s="103"/>
      <c r="N40" s="104" t="n">
        <f aca="false">IF(L40="","",L40-I40)</f>
        <v>0</v>
      </c>
      <c r="O40" s="105" t="n">
        <f aca="false">IF(L40&lt;&gt;"",O39+L40/24,O39+I40/24)</f>
        <v>45493.3958333334</v>
      </c>
      <c r="P40" s="106"/>
      <c r="Q40" s="129" t="n">
        <f aca="false">H40</f>
        <v>1500</v>
      </c>
      <c r="R40" s="108" t="n">
        <f aca="false">I40</f>
        <v>3</v>
      </c>
      <c r="S40" s="109"/>
      <c r="T40" s="1"/>
      <c r="U40" s="124"/>
      <c r="V40" s="119"/>
      <c r="W40" s="125"/>
      <c r="X40" s="120"/>
      <c r="Y40" s="2" t="s">
        <v>75</v>
      </c>
      <c r="Z40" s="1"/>
      <c r="AA40" s="1"/>
      <c r="AB40" s="1"/>
      <c r="AC40" s="1"/>
      <c r="AD40" s="1"/>
      <c r="AE40" s="1"/>
      <c r="AF40" s="1"/>
      <c r="AG40" s="1"/>
    </row>
    <row r="41" customFormat="false" ht="15.75" hidden="false" customHeight="true" outlineLevel="0" collapsed="false">
      <c r="A41" s="93" t="n">
        <f aca="false">A40+1</f>
        <v>22</v>
      </c>
      <c r="B41" s="110" t="s">
        <v>65</v>
      </c>
      <c r="C41" s="111" t="s">
        <v>102</v>
      </c>
      <c r="D41" s="111"/>
      <c r="E41" s="112" t="n">
        <f aca="false">E40</f>
        <v>245</v>
      </c>
      <c r="F41" s="113"/>
      <c r="G41" s="114"/>
      <c r="H41" s="113" t="n">
        <f aca="false">H40</f>
        <v>1500</v>
      </c>
      <c r="I41" s="100" t="n">
        <v>1</v>
      </c>
      <c r="J41" s="101" t="n">
        <f aca="false">IF(I41&lt;&gt;"",J40+I41/24,"")</f>
        <v>45493.7708333333</v>
      </c>
      <c r="K41" s="102" t="n">
        <v>1500</v>
      </c>
      <c r="L41" s="103" t="n">
        <v>0.5</v>
      </c>
      <c r="M41" s="122"/>
      <c r="N41" s="104" t="n">
        <f aca="false">IF(L41="","",L41-I41)</f>
        <v>-0.5</v>
      </c>
      <c r="O41" s="105" t="n">
        <f aca="false">IF(L41&lt;&gt;"",O40+L41/24,O40+I41/24)</f>
        <v>45493.4166666667</v>
      </c>
      <c r="P41" s="128"/>
      <c r="Q41" s="129" t="n">
        <f aca="false">H41</f>
        <v>1500</v>
      </c>
      <c r="R41" s="108" t="n">
        <f aca="false">I41</f>
        <v>1</v>
      </c>
      <c r="S41" s="109"/>
      <c r="T41" s="1"/>
      <c r="U41" s="118" t="n">
        <f aca="false">60/(3.5)*11.3</f>
        <v>193.714285714286</v>
      </c>
      <c r="V41" s="119" t="n">
        <f aca="false">(G41-F41)/I41</f>
        <v>0</v>
      </c>
      <c r="W41" s="125" t="n">
        <f aca="false">K41/(L41-M41)</f>
        <v>3000</v>
      </c>
      <c r="X41" s="120"/>
      <c r="Y41" s="121" t="n">
        <f aca="false">(G41-F41)/U41</f>
        <v>0</v>
      </c>
      <c r="Z41" s="1"/>
      <c r="AA41" s="1"/>
      <c r="AB41" s="1"/>
      <c r="AC41" s="1"/>
      <c r="AD41" s="1"/>
      <c r="AE41" s="1"/>
      <c r="AF41" s="1"/>
      <c r="AG41" s="1"/>
    </row>
    <row r="42" customFormat="false" ht="15.75" hidden="false" customHeight="true" outlineLevel="0" collapsed="false">
      <c r="A42" s="93" t="n">
        <f aca="false">A41+1</f>
        <v>23</v>
      </c>
      <c r="B42" s="110" t="s">
        <v>67</v>
      </c>
      <c r="C42" s="111" t="s">
        <v>103</v>
      </c>
      <c r="D42" s="111"/>
      <c r="E42" s="112" t="n">
        <f aca="false">E41</f>
        <v>245</v>
      </c>
      <c r="F42" s="113" t="n">
        <v>0</v>
      </c>
      <c r="G42" s="114" t="n">
        <f aca="false">F39</f>
        <v>1500</v>
      </c>
      <c r="H42" s="115" t="n">
        <f aca="false">H41</f>
        <v>1500</v>
      </c>
      <c r="I42" s="100" t="n">
        <v>13</v>
      </c>
      <c r="J42" s="101" t="n">
        <f aca="false">IF(I42&lt;&gt;"",J41+I42/24,"")</f>
        <v>45494.3125</v>
      </c>
      <c r="K42" s="102" t="n">
        <v>1500</v>
      </c>
      <c r="L42" s="103" t="n">
        <v>11</v>
      </c>
      <c r="M42" s="103"/>
      <c r="N42" s="104" t="n">
        <f aca="false">IF(L42="","",L42-I42)</f>
        <v>-2</v>
      </c>
      <c r="O42" s="105" t="n">
        <f aca="false">IF(L42&lt;&gt;"",O41+L42/24,O41+I42/24)</f>
        <v>45493.875</v>
      </c>
      <c r="P42" s="131"/>
      <c r="Q42" s="107" t="n">
        <f aca="false">H42</f>
        <v>1500</v>
      </c>
      <c r="R42" s="108" t="n">
        <f aca="false">I42</f>
        <v>13</v>
      </c>
      <c r="S42" s="109"/>
      <c r="T42" s="1"/>
      <c r="U42" s="124"/>
      <c r="V42" s="119"/>
      <c r="W42" s="132"/>
      <c r="X42" s="120"/>
      <c r="Z42" s="1"/>
      <c r="AA42" s="1"/>
      <c r="AB42" s="1"/>
      <c r="AC42" s="1"/>
      <c r="AD42" s="1"/>
      <c r="AE42" s="1"/>
      <c r="AF42" s="1"/>
      <c r="AG42" s="1"/>
    </row>
    <row r="43" customFormat="false" ht="15.75" hidden="false" customHeight="true" outlineLevel="0" collapsed="false">
      <c r="A43" s="93" t="n">
        <f aca="false">A42+1</f>
        <v>24</v>
      </c>
      <c r="B43" s="110" t="s">
        <v>69</v>
      </c>
      <c r="C43" s="111" t="s">
        <v>70</v>
      </c>
      <c r="D43" s="111"/>
      <c r="E43" s="112" t="n">
        <f aca="false">E42</f>
        <v>245</v>
      </c>
      <c r="F43" s="113"/>
      <c r="G43" s="114"/>
      <c r="H43" s="115" t="n">
        <f aca="false">H42</f>
        <v>1500</v>
      </c>
      <c r="I43" s="100" t="n">
        <v>2</v>
      </c>
      <c r="J43" s="101" t="n">
        <f aca="false">IF(I43&lt;&gt;"",J42+I43/24,"")</f>
        <v>45494.3958333333</v>
      </c>
      <c r="K43" s="102" t="n">
        <v>1500</v>
      </c>
      <c r="L43" s="103" t="n">
        <v>2</v>
      </c>
      <c r="M43" s="103"/>
      <c r="N43" s="104" t="n">
        <f aca="false">IF(L43="","",L43-I43)</f>
        <v>0</v>
      </c>
      <c r="O43" s="105" t="n">
        <f aca="false">IF(L43&lt;&gt;"",O42+L43/24,O42+I43/24)</f>
        <v>45493.9583333334</v>
      </c>
      <c r="P43" s="128"/>
      <c r="Q43" s="107" t="n">
        <f aca="false">H43</f>
        <v>1500</v>
      </c>
      <c r="R43" s="108" t="n">
        <f aca="false">I43</f>
        <v>2</v>
      </c>
      <c r="S43" s="109"/>
      <c r="T43" s="1"/>
      <c r="U43" s="124"/>
      <c r="V43" s="119"/>
      <c r="W43" s="132"/>
      <c r="X43" s="120"/>
      <c r="Z43" s="1"/>
      <c r="AA43" s="1"/>
      <c r="AB43" s="1"/>
      <c r="AC43" s="1"/>
      <c r="AD43" s="1"/>
      <c r="AE43" s="1"/>
      <c r="AF43" s="1"/>
      <c r="AG43" s="1"/>
    </row>
    <row r="44" customFormat="false" ht="15.75" hidden="false" customHeight="true" outlineLevel="0" collapsed="false">
      <c r="A44" s="93" t="n">
        <f aca="false">A43+1</f>
        <v>25</v>
      </c>
      <c r="B44" s="110" t="s">
        <v>67</v>
      </c>
      <c r="C44" s="111" t="s">
        <v>104</v>
      </c>
      <c r="D44" s="111"/>
      <c r="E44" s="112" t="n">
        <f aca="false">E43</f>
        <v>245</v>
      </c>
      <c r="F44" s="113"/>
      <c r="G44" s="114"/>
      <c r="H44" s="115" t="n">
        <f aca="false">H43</f>
        <v>1500</v>
      </c>
      <c r="I44" s="100" t="n">
        <v>3</v>
      </c>
      <c r="J44" s="101" t="n">
        <f aca="false">IF(I44&lt;&gt;"",J43+I44/24,"")</f>
        <v>45494.5208333333</v>
      </c>
      <c r="K44" s="102" t="n">
        <v>1500</v>
      </c>
      <c r="L44" s="103" t="n">
        <v>3</v>
      </c>
      <c r="M44" s="103"/>
      <c r="N44" s="104" t="n">
        <f aca="false">IF(L44="","",L44-I44)</f>
        <v>0</v>
      </c>
      <c r="O44" s="105" t="n">
        <f aca="false">IF(L44&lt;&gt;"",O43+L44/24,O43+I44/24)</f>
        <v>45494.0833333334</v>
      </c>
      <c r="P44" s="106" t="s">
        <v>105</v>
      </c>
      <c r="Q44" s="107" t="n">
        <f aca="false">H44</f>
        <v>1500</v>
      </c>
      <c r="R44" s="108" t="n">
        <f aca="false">I44</f>
        <v>3</v>
      </c>
      <c r="S44" s="109"/>
      <c r="T44" s="1"/>
      <c r="U44" s="124"/>
      <c r="V44" s="119"/>
      <c r="W44" s="132"/>
      <c r="X44" s="120"/>
      <c r="Z44" s="1"/>
      <c r="AA44" s="1"/>
      <c r="AB44" s="1"/>
      <c r="AC44" s="1"/>
      <c r="AD44" s="1"/>
      <c r="AE44" s="1"/>
      <c r="AF44" s="1"/>
      <c r="AG44" s="1"/>
    </row>
    <row r="45" customFormat="false" ht="15.75" hidden="false" customHeight="true" outlineLevel="0" collapsed="false">
      <c r="A45" s="93" t="n">
        <f aca="false">A44+1</f>
        <v>26</v>
      </c>
      <c r="B45" s="110" t="s">
        <v>92</v>
      </c>
      <c r="C45" s="111" t="s">
        <v>106</v>
      </c>
      <c r="D45" s="111"/>
      <c r="E45" s="112" t="n">
        <f aca="false">E44</f>
        <v>245</v>
      </c>
      <c r="F45" s="113"/>
      <c r="G45" s="114"/>
      <c r="H45" s="115" t="n">
        <f aca="false">H43</f>
        <v>1500</v>
      </c>
      <c r="I45" s="100" t="n">
        <v>2</v>
      </c>
      <c r="J45" s="101" t="n">
        <f aca="false">IF(I45&lt;&gt;"",J44+I45/24,"")</f>
        <v>45494.6041666667</v>
      </c>
      <c r="K45" s="102" t="n">
        <v>1500</v>
      </c>
      <c r="L45" s="103" t="n">
        <v>2</v>
      </c>
      <c r="M45" s="122"/>
      <c r="N45" s="104" t="n">
        <f aca="false">IF(L45="","",L45-I45)</f>
        <v>0</v>
      </c>
      <c r="O45" s="105" t="n">
        <f aca="false">IF(L45&lt;&gt;"",O44+L45/24,O44+I45/24)</f>
        <v>45494.1666666667</v>
      </c>
      <c r="P45" s="128"/>
      <c r="Q45" s="107" t="n">
        <f aca="false">H45</f>
        <v>1500</v>
      </c>
      <c r="R45" s="108" t="n">
        <f aca="false">I45</f>
        <v>2</v>
      </c>
      <c r="S45" s="109"/>
      <c r="T45" s="1"/>
      <c r="U45" s="124"/>
      <c r="V45" s="119"/>
      <c r="W45" s="132"/>
      <c r="X45" s="120"/>
      <c r="Z45" s="1"/>
      <c r="AA45" s="1"/>
      <c r="AB45" s="1"/>
      <c r="AC45" s="1"/>
      <c r="AD45" s="1"/>
      <c r="AE45" s="1"/>
      <c r="AF45" s="1"/>
      <c r="AG45" s="1"/>
    </row>
    <row r="46" customFormat="false" ht="15.75" hidden="false" customHeight="true" outlineLevel="0" collapsed="false">
      <c r="A46" s="93" t="n">
        <f aca="false">A45+1</f>
        <v>27</v>
      </c>
      <c r="B46" s="110" t="s">
        <v>92</v>
      </c>
      <c r="C46" s="111" t="s">
        <v>107</v>
      </c>
      <c r="D46" s="111"/>
      <c r="E46" s="112" t="n">
        <f aca="false">E45</f>
        <v>245</v>
      </c>
      <c r="F46" s="113"/>
      <c r="G46" s="114"/>
      <c r="H46" s="115" t="n">
        <f aca="false">H44</f>
        <v>1500</v>
      </c>
      <c r="I46" s="100" t="n">
        <v>6</v>
      </c>
      <c r="J46" s="101" t="n">
        <f aca="false">IF(I46&lt;&gt;"",J45+I46/24,"")</f>
        <v>45494.8541666667</v>
      </c>
      <c r="K46" s="102" t="n">
        <v>1500</v>
      </c>
      <c r="L46" s="103" t="n">
        <v>6</v>
      </c>
      <c r="M46" s="103"/>
      <c r="N46" s="104" t="n">
        <f aca="false">IF(L46="","",L46-I46)</f>
        <v>0</v>
      </c>
      <c r="O46" s="105" t="n">
        <f aca="false">IF(L46&lt;&gt;"",O45+L46/24,O45+I46/24)</f>
        <v>45494.4166666667</v>
      </c>
      <c r="P46" s="128"/>
      <c r="Q46" s="107" t="n">
        <f aca="false">H46</f>
        <v>1500</v>
      </c>
      <c r="R46" s="99" t="n">
        <f aca="false">I46</f>
        <v>6</v>
      </c>
      <c r="S46" s="109"/>
      <c r="T46" s="1"/>
      <c r="U46" s="124"/>
      <c r="V46" s="119"/>
      <c r="W46" s="132"/>
      <c r="X46" s="120"/>
      <c r="Y46" s="2" t="s">
        <v>75</v>
      </c>
      <c r="Z46" s="1"/>
      <c r="AA46" s="1"/>
      <c r="AB46" s="1"/>
      <c r="AC46" s="1"/>
      <c r="AD46" s="1"/>
      <c r="AE46" s="1"/>
      <c r="AF46" s="1"/>
      <c r="AG46" s="1"/>
    </row>
    <row r="47" customFormat="false" ht="47.25" hidden="false" customHeight="true" outlineLevel="0" collapsed="false">
      <c r="A47" s="93" t="n">
        <f aca="false">A46+1</f>
        <v>28</v>
      </c>
      <c r="B47" s="110" t="s">
        <v>92</v>
      </c>
      <c r="C47" s="111" t="s">
        <v>108</v>
      </c>
      <c r="D47" s="111"/>
      <c r="E47" s="112" t="n">
        <f aca="false">E46</f>
        <v>245</v>
      </c>
      <c r="F47" s="113"/>
      <c r="G47" s="114"/>
      <c r="H47" s="115" t="n">
        <f aca="false">H45</f>
        <v>1500</v>
      </c>
      <c r="I47" s="100" t="n">
        <v>2</v>
      </c>
      <c r="J47" s="101" t="n">
        <f aca="false">IF(I47&lt;&gt;"",J46+I47/24,"")</f>
        <v>45494.9375</v>
      </c>
      <c r="K47" s="102" t="n">
        <v>1500</v>
      </c>
      <c r="L47" s="103" t="n">
        <v>8</v>
      </c>
      <c r="M47" s="103"/>
      <c r="N47" s="104" t="n">
        <f aca="false">IF(L47="","",L47-I47)</f>
        <v>6</v>
      </c>
      <c r="O47" s="105" t="n">
        <f aca="false">IF(L47&lt;&gt;"",O46+L47/24,O46+I47/24)</f>
        <v>45494.75</v>
      </c>
      <c r="P47" s="106" t="s">
        <v>109</v>
      </c>
      <c r="Q47" s="107" t="n">
        <f aca="false">H47</f>
        <v>1500</v>
      </c>
      <c r="R47" s="99" t="n">
        <f aca="false">I47</f>
        <v>2</v>
      </c>
      <c r="S47" s="109"/>
      <c r="T47" s="1"/>
      <c r="U47" s="118" t="n">
        <f aca="false">60/(3+3)*12.5</f>
        <v>125</v>
      </c>
      <c r="V47" s="119" t="n">
        <f aca="false">(G47-F47)/I47</f>
        <v>0</v>
      </c>
      <c r="W47" s="132"/>
      <c r="X47" s="120"/>
      <c r="Y47" s="121" t="n">
        <f aca="false">(G47-F47)/U47</f>
        <v>0</v>
      </c>
      <c r="Z47" s="1"/>
      <c r="AA47" s="1"/>
      <c r="AB47" s="1"/>
      <c r="AC47" s="1"/>
      <c r="AD47" s="1"/>
      <c r="AE47" s="1"/>
      <c r="AF47" s="1"/>
      <c r="AG47" s="1"/>
    </row>
    <row r="48" customFormat="false" ht="14.25" hidden="false" customHeight="true" outlineLevel="0" collapsed="false">
      <c r="A48" s="93" t="n">
        <f aca="false">A47+1</f>
        <v>29</v>
      </c>
      <c r="B48" s="110" t="s">
        <v>58</v>
      </c>
      <c r="C48" s="111" t="s">
        <v>110</v>
      </c>
      <c r="D48" s="111"/>
      <c r="E48" s="112" t="n">
        <v>178</v>
      </c>
      <c r="F48" s="113"/>
      <c r="G48" s="114"/>
      <c r="H48" s="113" t="n">
        <f aca="false">H47</f>
        <v>1500</v>
      </c>
      <c r="I48" s="100" t="n">
        <v>4</v>
      </c>
      <c r="J48" s="101" t="n">
        <f aca="false">IF(I48&lt;&gt;"",J47+I48/24,"")</f>
        <v>45495.1041666667</v>
      </c>
      <c r="K48" s="102" t="n">
        <v>1500</v>
      </c>
      <c r="L48" s="103" t="n">
        <v>3</v>
      </c>
      <c r="M48" s="122"/>
      <c r="N48" s="104" t="n">
        <f aca="false">IF(L48="","",L48-I48)</f>
        <v>-1</v>
      </c>
      <c r="O48" s="105" t="n">
        <f aca="false">IF(L48&lt;&gt;"",O47+L48/24,O47+I48/24)</f>
        <v>45494.875</v>
      </c>
      <c r="P48" s="106"/>
      <c r="Q48" s="107" t="n">
        <f aca="false">H48</f>
        <v>1500</v>
      </c>
      <c r="R48" s="99" t="n">
        <f aca="false">I48</f>
        <v>4</v>
      </c>
      <c r="S48" s="109"/>
      <c r="T48" s="1"/>
      <c r="U48" s="124"/>
      <c r="V48" s="119"/>
      <c r="W48" s="132"/>
      <c r="X48" s="120"/>
      <c r="Z48" s="1"/>
      <c r="AA48" s="1"/>
      <c r="AB48" s="1"/>
      <c r="AC48" s="1"/>
      <c r="AD48" s="1"/>
      <c r="AE48" s="1"/>
      <c r="AF48" s="1"/>
      <c r="AG48" s="1"/>
    </row>
    <row r="49" customFormat="false" ht="27.75" hidden="false" customHeight="true" outlineLevel="0" collapsed="false">
      <c r="A49" s="133" t="n">
        <f aca="false">A48+1</f>
        <v>30</v>
      </c>
      <c r="B49" s="110" t="s">
        <v>76</v>
      </c>
      <c r="C49" s="111" t="s">
        <v>111</v>
      </c>
      <c r="D49" s="111"/>
      <c r="E49" s="112" t="n">
        <f aca="false">E48</f>
        <v>178</v>
      </c>
      <c r="F49" s="113"/>
      <c r="G49" s="114"/>
      <c r="H49" s="113" t="n">
        <f aca="false">H48</f>
        <v>1500</v>
      </c>
      <c r="I49" s="100" t="n">
        <v>12</v>
      </c>
      <c r="J49" s="101" t="n">
        <f aca="false">IF(I49&lt;&gt;"",J48+I49/24,"")</f>
        <v>45495.6041666667</v>
      </c>
      <c r="K49" s="102" t="n">
        <v>1500</v>
      </c>
      <c r="L49" s="103" t="n">
        <v>12</v>
      </c>
      <c r="M49" s="122"/>
      <c r="N49" s="104" t="n">
        <f aca="false">IF(L49="","",L49-I49)</f>
        <v>0</v>
      </c>
      <c r="O49" s="105" t="n">
        <f aca="false">IF(L49&lt;&gt;"",O48+L49/24,O48+I49/24)</f>
        <v>45495.375</v>
      </c>
      <c r="P49" s="128"/>
      <c r="Q49" s="107" t="n">
        <f aca="false">H49</f>
        <v>1500</v>
      </c>
      <c r="R49" s="99" t="n">
        <f aca="false">I49</f>
        <v>12</v>
      </c>
      <c r="S49" s="109"/>
      <c r="T49" s="1"/>
      <c r="U49" s="124"/>
      <c r="V49" s="119"/>
      <c r="W49" s="132"/>
      <c r="X49" s="120"/>
      <c r="Y49" s="2" t="s">
        <v>75</v>
      </c>
      <c r="Z49" s="1"/>
      <c r="AA49" s="1"/>
      <c r="AB49" s="1"/>
      <c r="AC49" s="1"/>
      <c r="AD49" s="1"/>
      <c r="AE49" s="1"/>
      <c r="AF49" s="1"/>
      <c r="AG49" s="1"/>
    </row>
    <row r="50" customFormat="false" ht="14.25" hidden="false" customHeight="true" outlineLevel="0" collapsed="false">
      <c r="A50" s="133" t="n">
        <f aca="false">A49+1</f>
        <v>31</v>
      </c>
      <c r="B50" s="110" t="s">
        <v>58</v>
      </c>
      <c r="C50" s="111" t="s">
        <v>112</v>
      </c>
      <c r="D50" s="111"/>
      <c r="E50" s="112" t="n">
        <f aca="false">E49</f>
        <v>178</v>
      </c>
      <c r="F50" s="113"/>
      <c r="G50" s="114"/>
      <c r="H50" s="115" t="n">
        <f aca="false">H49</f>
        <v>1500</v>
      </c>
      <c r="I50" s="100" t="n">
        <v>1.5</v>
      </c>
      <c r="J50" s="101" t="n">
        <f aca="false">IF(I50&lt;&gt;"",J49+I50/24,"")</f>
        <v>45495.6666666667</v>
      </c>
      <c r="K50" s="102" t="n">
        <v>1500</v>
      </c>
      <c r="L50" s="103" t="n">
        <v>1.5</v>
      </c>
      <c r="M50" s="134"/>
      <c r="N50" s="104" t="n">
        <f aca="false">IF(L50="","",L50-I50)</f>
        <v>0</v>
      </c>
      <c r="O50" s="105" t="n">
        <f aca="false">IF(L50&lt;&gt;"",O49+L50/24,O49+I50/24)</f>
        <v>45495.4375</v>
      </c>
      <c r="P50" s="128"/>
      <c r="Q50" s="107" t="n">
        <f aca="false">H50</f>
        <v>1500</v>
      </c>
      <c r="R50" s="99" t="n">
        <f aca="false">I50</f>
        <v>1.5</v>
      </c>
      <c r="S50" s="109"/>
      <c r="T50" s="1"/>
      <c r="U50" s="118" t="n">
        <f aca="false">60/(3)*12.5</f>
        <v>250</v>
      </c>
      <c r="V50" s="119" t="n">
        <f aca="false">(G50-F50)/I50</f>
        <v>0</v>
      </c>
      <c r="W50" s="132"/>
      <c r="X50" s="120"/>
      <c r="Y50" s="121" t="n">
        <f aca="false">(G50-F50)/U50</f>
        <v>0</v>
      </c>
      <c r="Z50" s="1"/>
      <c r="AA50" s="1"/>
      <c r="AB50" s="1"/>
      <c r="AC50" s="1"/>
      <c r="AD50" s="1"/>
      <c r="AE50" s="1"/>
      <c r="AF50" s="1"/>
      <c r="AG50" s="1"/>
    </row>
    <row r="51" customFormat="false" ht="12" hidden="false" customHeight="true" outlineLevel="0" collapsed="false">
      <c r="A51" s="133" t="n">
        <f aca="false">A50+1</f>
        <v>32</v>
      </c>
      <c r="B51" s="135" t="s">
        <v>60</v>
      </c>
      <c r="C51" s="136" t="s">
        <v>113</v>
      </c>
      <c r="D51" s="136"/>
      <c r="E51" s="112" t="n">
        <f aca="false">E50</f>
        <v>178</v>
      </c>
      <c r="F51" s="113" t="n">
        <f aca="false">G42-3</f>
        <v>1497</v>
      </c>
      <c r="G51" s="114" t="n">
        <f aca="false">G42</f>
        <v>1500</v>
      </c>
      <c r="H51" s="113" t="n">
        <f aca="false">H50</f>
        <v>1500</v>
      </c>
      <c r="I51" s="100" t="n">
        <v>2.5</v>
      </c>
      <c r="J51" s="101" t="n">
        <f aca="false">IF(I51&lt;&gt;"",J50+I51/24,"")</f>
        <v>45495.7708333333</v>
      </c>
      <c r="K51" s="102" t="n">
        <v>1500</v>
      </c>
      <c r="L51" s="103" t="n">
        <v>2.5</v>
      </c>
      <c r="M51" s="103"/>
      <c r="N51" s="104" t="n">
        <f aca="false">IF(L51="","",L51-I51)</f>
        <v>0</v>
      </c>
      <c r="O51" s="105" t="n">
        <f aca="false">IF(L51&lt;&gt;"",O50+L51/24,O50+I51/24)</f>
        <v>45495.5416666667</v>
      </c>
      <c r="P51" s="106"/>
      <c r="Q51" s="107" t="n">
        <f aca="false">H51</f>
        <v>1500</v>
      </c>
      <c r="R51" s="99" t="n">
        <f aca="false">I51</f>
        <v>2.5</v>
      </c>
      <c r="S51" s="109"/>
      <c r="T51" s="1"/>
      <c r="U51" s="124"/>
      <c r="V51" s="119"/>
      <c r="W51" s="132"/>
      <c r="X51" s="120"/>
      <c r="Z51" s="1"/>
      <c r="AA51" s="1"/>
      <c r="AB51" s="1"/>
      <c r="AC51" s="1"/>
      <c r="AD51" s="1"/>
      <c r="AE51" s="137" t="s">
        <v>80</v>
      </c>
      <c r="AF51" s="1"/>
      <c r="AG51" s="1"/>
    </row>
    <row r="52" customFormat="false" ht="15" hidden="false" customHeight="true" outlineLevel="0" collapsed="false">
      <c r="A52" s="133" t="n">
        <f aca="false">A51+1</f>
        <v>33</v>
      </c>
      <c r="B52" s="110" t="s">
        <v>60</v>
      </c>
      <c r="C52" s="111" t="s">
        <v>114</v>
      </c>
      <c r="D52" s="111"/>
      <c r="E52" s="112" t="n">
        <f aca="false">E51</f>
        <v>178</v>
      </c>
      <c r="F52" s="113"/>
      <c r="G52" s="114"/>
      <c r="H52" s="138" t="n">
        <f aca="false">H51</f>
        <v>1500</v>
      </c>
      <c r="I52" s="100" t="n">
        <v>1</v>
      </c>
      <c r="J52" s="101" t="n">
        <f aca="false">IF(I52&lt;&gt;"",J51+I52/24,"")</f>
        <v>45495.8125</v>
      </c>
      <c r="K52" s="102" t="n">
        <v>1500</v>
      </c>
      <c r="L52" s="103" t="n">
        <v>1</v>
      </c>
      <c r="M52" s="103"/>
      <c r="N52" s="104" t="n">
        <f aca="false">IF(L52="","",L52-I52)</f>
        <v>0</v>
      </c>
      <c r="O52" s="105" t="n">
        <f aca="false">IF(L52&lt;&gt;"",O51+L52/24,O51+I52/24)</f>
        <v>45495.5833333334</v>
      </c>
      <c r="P52" s="106"/>
      <c r="Q52" s="107" t="n">
        <f aca="false">H52</f>
        <v>1500</v>
      </c>
      <c r="R52" s="99" t="n">
        <f aca="false">I52</f>
        <v>1</v>
      </c>
      <c r="S52" s="109"/>
      <c r="T52" s="1"/>
      <c r="U52" s="124"/>
      <c r="V52" s="119"/>
      <c r="W52" s="132"/>
      <c r="X52" s="120"/>
      <c r="Y52" s="130" t="s">
        <v>85</v>
      </c>
      <c r="Z52" s="26" t="s">
        <v>86</v>
      </c>
      <c r="AA52" s="26" t="s">
        <v>87</v>
      </c>
      <c r="AB52" s="26" t="s">
        <v>88</v>
      </c>
      <c r="AC52" s="26" t="s">
        <v>89</v>
      </c>
      <c r="AD52" s="26" t="s">
        <v>90</v>
      </c>
      <c r="AE52" s="139" t="n">
        <v>65</v>
      </c>
      <c r="AF52" s="1"/>
      <c r="AG52" s="1" t="s">
        <v>115</v>
      </c>
      <c r="AH52" s="2" t="s">
        <v>116</v>
      </c>
      <c r="AI52" s="120" t="e">
        <f aca="false">(#REF!-#REF!)/SUM(AE53,AE55,AE57,AE58)</f>
        <v>#REF!</v>
      </c>
    </row>
    <row r="53" customFormat="false" ht="15" hidden="false" customHeight="true" outlineLevel="0" collapsed="false">
      <c r="A53" s="133" t="n">
        <f aca="false">A52+1</f>
        <v>34</v>
      </c>
      <c r="B53" s="110" t="s">
        <v>92</v>
      </c>
      <c r="C53" s="111" t="s">
        <v>93</v>
      </c>
      <c r="D53" s="111"/>
      <c r="E53" s="112" t="n">
        <f aca="false">E52</f>
        <v>178</v>
      </c>
      <c r="F53" s="113"/>
      <c r="G53" s="114"/>
      <c r="H53" s="138" t="n">
        <f aca="false">H52</f>
        <v>1500</v>
      </c>
      <c r="I53" s="100" t="n">
        <v>1</v>
      </c>
      <c r="J53" s="101" t="n">
        <f aca="false">IF(I53&lt;&gt;"",J52+I53/24,"")</f>
        <v>45495.8541666667</v>
      </c>
      <c r="K53" s="102" t="n">
        <v>1500</v>
      </c>
      <c r="L53" s="103" t="n">
        <v>1</v>
      </c>
      <c r="M53" s="122"/>
      <c r="N53" s="104" t="n">
        <f aca="false">IF(L53="","",L53-I53)</f>
        <v>0</v>
      </c>
      <c r="O53" s="105" t="n">
        <f aca="false">IF(L53&lt;&gt;"",O52+L53/24,O52+I53/24)</f>
        <v>45495.625</v>
      </c>
      <c r="P53" s="128"/>
      <c r="Q53" s="107" t="n">
        <f aca="false">H53</f>
        <v>1500</v>
      </c>
      <c r="R53" s="99" t="n">
        <f aca="false">I53</f>
        <v>1</v>
      </c>
      <c r="S53" s="109"/>
      <c r="T53" s="1"/>
      <c r="U53" s="124" t="n">
        <v>30</v>
      </c>
      <c r="V53" s="119" t="e">
        <f aca="false">(#REF!-#REF!)/#REF!</f>
        <v>#REF!</v>
      </c>
      <c r="W53" s="125" t="e">
        <f aca="false">(#REF!-K52)/(#REF!-#REF!)</f>
        <v>#REF!</v>
      </c>
      <c r="X53" s="120"/>
      <c r="Y53" s="121" t="e">
        <f aca="false">(#REF!-#REF!)/25.5</f>
        <v>#REF!</v>
      </c>
      <c r="Z53" s="140" t="e">
        <f aca="false">Y53*0.15*$E$15</f>
        <v>#REF!</v>
      </c>
      <c r="AA53" s="118" t="e">
        <f aca="false">Y53*5/60</f>
        <v>#REF!</v>
      </c>
      <c r="AB53" s="118" t="e">
        <f aca="false">(#REF!-#REF!)*0.2/8*8/60</f>
        <v>#REF!</v>
      </c>
      <c r="AC53" s="118" t="e">
        <f aca="false">Y53*3*25.5/1000</f>
        <v>#REF!</v>
      </c>
      <c r="AD53" s="118" t="e">
        <f aca="false">(220.7^2-127^2)*3.14/4/10^6*200/40/60/60*1000*Y53</f>
        <v>#REF!</v>
      </c>
      <c r="AE53" s="118" t="e">
        <f aca="false">(#REF!-#REF!)/AE52</f>
        <v>#REF!</v>
      </c>
      <c r="AF53" s="1"/>
      <c r="AG53" s="124" t="e">
        <f aca="false">SUM(Z53:AE53)</f>
        <v>#REF!</v>
      </c>
    </row>
    <row r="54" customFormat="false" ht="41.25" hidden="false" customHeight="true" outlineLevel="0" collapsed="false">
      <c r="A54" s="141" t="n">
        <f aca="false">A53+1</f>
        <v>35</v>
      </c>
      <c r="B54" s="94" t="s">
        <v>60</v>
      </c>
      <c r="C54" s="95" t="s">
        <v>117</v>
      </c>
      <c r="D54" s="95"/>
      <c r="E54" s="96" t="n">
        <f aca="false">E53</f>
        <v>178</v>
      </c>
      <c r="F54" s="97" t="n">
        <f aca="false">G51</f>
        <v>1500</v>
      </c>
      <c r="G54" s="98" t="n">
        <f aca="false">E7</f>
        <v>3300</v>
      </c>
      <c r="H54" s="127" t="n">
        <v>3286</v>
      </c>
      <c r="I54" s="100" t="n">
        <v>80</v>
      </c>
      <c r="J54" s="101" t="n">
        <f aca="false">IF(I54&lt;&gt;"",J53+I54/24,"")</f>
        <v>45499.1875</v>
      </c>
      <c r="K54" s="102" t="n">
        <v>3286</v>
      </c>
      <c r="L54" s="103" t="n">
        <v>134.25</v>
      </c>
      <c r="M54" s="122" t="n">
        <v>54.25</v>
      </c>
      <c r="N54" s="104" t="n">
        <f aca="false">IF(L54="","",L54-I54)</f>
        <v>54.25</v>
      </c>
      <c r="O54" s="105" t="n">
        <f aca="false">IF(L54&lt;&gt;"",O53+L54/24,O53+I54/24)</f>
        <v>45501.21875</v>
      </c>
      <c r="P54" s="142" t="s">
        <v>118</v>
      </c>
      <c r="Q54" s="107" t="n">
        <f aca="false">H54</f>
        <v>3286</v>
      </c>
      <c r="R54" s="99" t="n">
        <f aca="false">I54</f>
        <v>80</v>
      </c>
      <c r="S54" s="109"/>
      <c r="T54" s="1"/>
      <c r="U54" s="124"/>
      <c r="V54" s="119"/>
      <c r="W54" s="132"/>
      <c r="X54" s="120"/>
      <c r="Z54" s="1"/>
      <c r="AA54" s="1"/>
      <c r="AB54" s="1"/>
      <c r="AC54" s="1"/>
      <c r="AD54" s="1"/>
      <c r="AE54" s="143" t="n">
        <v>55</v>
      </c>
      <c r="AF54" s="1"/>
      <c r="AG54" s="1"/>
    </row>
    <row r="55" customFormat="false" ht="16.5" hidden="false" customHeight="true" outlineLevel="0" collapsed="false">
      <c r="A55" s="133" t="n">
        <f aca="false">A54+1</f>
        <v>36</v>
      </c>
      <c r="B55" s="110" t="s">
        <v>69</v>
      </c>
      <c r="C55" s="111" t="s">
        <v>119</v>
      </c>
      <c r="D55" s="111"/>
      <c r="E55" s="112" t="n">
        <v>178</v>
      </c>
      <c r="F55" s="113"/>
      <c r="G55" s="114"/>
      <c r="H55" s="138" t="n">
        <f aca="false">H54</f>
        <v>3286</v>
      </c>
      <c r="I55" s="100" t="n">
        <v>3</v>
      </c>
      <c r="J55" s="101" t="n">
        <f aca="false">IF(I55&lt;&gt;"",J54+I55/24,"")</f>
        <v>45499.3125</v>
      </c>
      <c r="K55" s="102" t="n">
        <v>3286</v>
      </c>
      <c r="L55" s="103" t="n">
        <v>3</v>
      </c>
      <c r="M55" s="103"/>
      <c r="N55" s="104" t="n">
        <f aca="false">IF(L55="","",L55-I55)</f>
        <v>0</v>
      </c>
      <c r="O55" s="105" t="n">
        <f aca="false">IF(L55&lt;&gt;"",O54+L55/24,O54+I55/24)</f>
        <v>45501.34375</v>
      </c>
      <c r="P55" s="128"/>
      <c r="Q55" s="107" t="n">
        <f aca="false">H55</f>
        <v>3286</v>
      </c>
      <c r="R55" s="99" t="n">
        <f aca="false">I55</f>
        <v>3</v>
      </c>
      <c r="S55" s="109"/>
      <c r="T55" s="1"/>
      <c r="U55" s="124" t="n">
        <v>27</v>
      </c>
      <c r="V55" s="119" t="e">
        <f aca="false">(#REF!-#REF!)/#REF!</f>
        <v>#REF!</v>
      </c>
      <c r="W55" s="125" t="e">
        <f aca="false">(#REF!-#REF!)/(#REF!-#REF!)</f>
        <v>#REF!</v>
      </c>
      <c r="X55" s="120"/>
      <c r="Y55" s="121" t="e">
        <f aca="false">(#REF!-#REF!)/25.5</f>
        <v>#REF!</v>
      </c>
      <c r="Z55" s="140" t="e">
        <f aca="false">Y55*0.15*$E$15</f>
        <v>#REF!</v>
      </c>
      <c r="AA55" s="118" t="e">
        <f aca="false">Y55*5/60</f>
        <v>#REF!</v>
      </c>
      <c r="AB55" s="118" t="e">
        <f aca="false">(#REF!-#REF!)*0.6/8*5/60</f>
        <v>#REF!</v>
      </c>
      <c r="AC55" s="118" t="e">
        <f aca="false">Y55*3*25.5/1000</f>
        <v>#REF!</v>
      </c>
      <c r="AD55" s="118" t="e">
        <f aca="false">(220.7^2-127^2)*3.14/4/10^6*200/40/60/60*1000*Y55</f>
        <v>#REF!</v>
      </c>
      <c r="AE55" s="118" t="e">
        <f aca="false">(#REF!-#REF!)/AE54</f>
        <v>#REF!</v>
      </c>
      <c r="AF55" s="1"/>
      <c r="AG55" s="124" t="e">
        <f aca="false">SUM(Z55:AE55)</f>
        <v>#REF!</v>
      </c>
    </row>
    <row r="56" customFormat="false" ht="45" hidden="false" customHeight="true" outlineLevel="0" collapsed="false">
      <c r="A56" s="133" t="n">
        <f aca="false">A55+1</f>
        <v>37</v>
      </c>
      <c r="B56" s="110" t="s">
        <v>76</v>
      </c>
      <c r="C56" s="111" t="s">
        <v>120</v>
      </c>
      <c r="D56" s="111"/>
      <c r="E56" s="112" t="n">
        <v>178</v>
      </c>
      <c r="F56" s="113" t="n">
        <f aca="false">G54</f>
        <v>3300</v>
      </c>
      <c r="G56" s="114" t="n">
        <f aca="false">F54</f>
        <v>1500</v>
      </c>
      <c r="H56" s="138" t="n">
        <f aca="false">H55</f>
        <v>3286</v>
      </c>
      <c r="I56" s="100" t="n">
        <v>9</v>
      </c>
      <c r="J56" s="101" t="n">
        <f aca="false">IF(I56&lt;&gt;"",J55+I56/24,"")</f>
        <v>45499.6875</v>
      </c>
      <c r="K56" s="102" t="n">
        <v>3286</v>
      </c>
      <c r="L56" s="103" t="n">
        <v>8.75</v>
      </c>
      <c r="M56" s="103" t="n">
        <v>1.25</v>
      </c>
      <c r="N56" s="104" t="n">
        <f aca="false">IF(L56="","",L56-I56)</f>
        <v>-0.25</v>
      </c>
      <c r="O56" s="105" t="n">
        <f aca="false">IF(L56&lt;&gt;"",O55+L56/24,O55+I56/24)</f>
        <v>45501.7083333334</v>
      </c>
      <c r="P56" s="128" t="s">
        <v>121</v>
      </c>
      <c r="Q56" s="107" t="n">
        <f aca="false">H56</f>
        <v>3286</v>
      </c>
      <c r="R56" s="99" t="n">
        <f aca="false">I56</f>
        <v>9</v>
      </c>
      <c r="S56" s="109"/>
      <c r="T56" s="1"/>
      <c r="U56" s="124"/>
      <c r="V56" s="119"/>
      <c r="W56" s="132"/>
      <c r="X56" s="120"/>
      <c r="Z56" s="1"/>
      <c r="AA56" s="1"/>
      <c r="AB56" s="1"/>
      <c r="AC56" s="1"/>
      <c r="AD56" s="1"/>
      <c r="AE56" s="143" t="n">
        <v>40</v>
      </c>
      <c r="AF56" s="1"/>
      <c r="AG56" s="1"/>
    </row>
    <row r="57" customFormat="false" ht="15" hidden="false" customHeight="true" outlineLevel="0" collapsed="false">
      <c r="A57" s="133" t="n">
        <f aca="false">A56+1</f>
        <v>38</v>
      </c>
      <c r="B57" s="110" t="s">
        <v>76</v>
      </c>
      <c r="C57" s="111" t="s">
        <v>122</v>
      </c>
      <c r="D57" s="111"/>
      <c r="E57" s="112" t="n">
        <v>178</v>
      </c>
      <c r="F57" s="113" t="n">
        <f aca="false">G56</f>
        <v>1500</v>
      </c>
      <c r="G57" s="114" t="n">
        <f aca="false">F56</f>
        <v>3300</v>
      </c>
      <c r="H57" s="113" t="n">
        <f aca="false">H56</f>
        <v>3286</v>
      </c>
      <c r="I57" s="100" t="n">
        <v>8</v>
      </c>
      <c r="J57" s="101" t="n">
        <f aca="false">IF(I57&lt;&gt;"",J56+I57/24,"")</f>
        <v>45500.0208333333</v>
      </c>
      <c r="K57" s="102" t="n">
        <v>3286</v>
      </c>
      <c r="L57" s="103" t="n">
        <v>7.5</v>
      </c>
      <c r="M57" s="103"/>
      <c r="N57" s="104" t="n">
        <f aca="false">IF(L57="","",L57-I57)</f>
        <v>-0.5</v>
      </c>
      <c r="O57" s="105" t="n">
        <f aca="false">IF(L57&lt;&gt;"",O56+L57/24,O56+I57/24)</f>
        <v>45502.0208333334</v>
      </c>
      <c r="P57" s="128"/>
      <c r="Q57" s="107" t="n">
        <f aca="false">H57</f>
        <v>3286</v>
      </c>
      <c r="R57" s="99" t="n">
        <f aca="false">I57</f>
        <v>8</v>
      </c>
      <c r="S57" s="109"/>
      <c r="T57" s="1"/>
      <c r="U57" s="124" t="n">
        <v>22</v>
      </c>
      <c r="V57" s="119" t="e">
        <f aca="false">(#REF!-#REF!)/#REF!</f>
        <v>#REF!</v>
      </c>
      <c r="W57" s="125" t="e">
        <f aca="false">(#REF!-#REF!)/(#REF!-#REF!)</f>
        <v>#REF!</v>
      </c>
      <c r="X57" s="120"/>
      <c r="Y57" s="121" t="e">
        <f aca="false">(#REF!-#REF!)/25.5</f>
        <v>#REF!</v>
      </c>
      <c r="Z57" s="140" t="e">
        <f aca="false">Y57*0.15*$E$15</f>
        <v>#REF!</v>
      </c>
      <c r="AA57" s="118" t="e">
        <f aca="false">Y57*5/60</f>
        <v>#REF!</v>
      </c>
      <c r="AB57" s="118" t="e">
        <f aca="false">(#REF!-#REF!)*0.2/8*5/60</f>
        <v>#REF!</v>
      </c>
      <c r="AC57" s="118" t="e">
        <f aca="false">Y57*3*25.5/1000</f>
        <v>#REF!</v>
      </c>
      <c r="AD57" s="118" t="e">
        <f aca="false">(220.7^2-127^2)*3.14/4/10^6*200/40/60/60*1000*Y57</f>
        <v>#REF!</v>
      </c>
      <c r="AE57" s="118" t="e">
        <f aca="false">(#REF!-#REF!)/AE56</f>
        <v>#REF!</v>
      </c>
      <c r="AF57" s="1"/>
      <c r="AG57" s="124" t="e">
        <f aca="false">SUM(Z57:AE57)</f>
        <v>#REF!</v>
      </c>
    </row>
    <row r="58" customFormat="false" ht="18" hidden="false" customHeight="true" outlineLevel="0" collapsed="false">
      <c r="A58" s="133" t="n">
        <f aca="false">A57+1</f>
        <v>39</v>
      </c>
      <c r="B58" s="110" t="s">
        <v>69</v>
      </c>
      <c r="C58" s="111" t="s">
        <v>123</v>
      </c>
      <c r="D58" s="111"/>
      <c r="E58" s="112" t="n">
        <v>178</v>
      </c>
      <c r="F58" s="113"/>
      <c r="G58" s="114"/>
      <c r="H58" s="113" t="n">
        <f aca="false">H57</f>
        <v>3286</v>
      </c>
      <c r="I58" s="100" t="n">
        <v>3</v>
      </c>
      <c r="J58" s="101" t="n">
        <f aca="false">IF(I58&lt;&gt;"",J57+I58/24,"")</f>
        <v>45500.1458333333</v>
      </c>
      <c r="K58" s="102" t="n">
        <v>3286</v>
      </c>
      <c r="L58" s="103" t="n">
        <v>3</v>
      </c>
      <c r="M58" s="122"/>
      <c r="N58" s="104" t="n">
        <f aca="false">IF(L58="","",L58-I58)</f>
        <v>0</v>
      </c>
      <c r="O58" s="105" t="n">
        <f aca="false">IF(L58&lt;&gt;"",O57+L58/24,O57+I58/24)</f>
        <v>45502.1458333334</v>
      </c>
      <c r="P58" s="131"/>
      <c r="Q58" s="107" t="n">
        <f aca="false">H58</f>
        <v>3286</v>
      </c>
      <c r="R58" s="99" t="n">
        <f aca="false">I58</f>
        <v>3</v>
      </c>
      <c r="S58" s="109"/>
      <c r="T58" s="1"/>
      <c r="U58" s="124" t="n">
        <v>17</v>
      </c>
      <c r="V58" s="119" t="e">
        <f aca="false">(#REF!-#REF!)/#REF!</f>
        <v>#REF!</v>
      </c>
      <c r="W58" s="125" t="e">
        <f aca="false">(#REF!-#REF!)/(#REF!-#REF!)</f>
        <v>#REF!</v>
      </c>
      <c r="X58" s="120"/>
      <c r="Y58" s="121" t="e">
        <f aca="false">(#REF!-#REF!)/25.5</f>
        <v>#REF!</v>
      </c>
      <c r="Z58" s="140" t="e">
        <f aca="false">Y58*0.15*$E$15</f>
        <v>#REF!</v>
      </c>
      <c r="AA58" s="118" t="e">
        <f aca="false">Y58*5/60</f>
        <v>#REF!</v>
      </c>
      <c r="AB58" s="118" t="e">
        <f aca="false">(#REF!-#REF!)*0.6/8*5/60</f>
        <v>#REF!</v>
      </c>
      <c r="AC58" s="118" t="e">
        <f aca="false">Y58*3*25.5/1000</f>
        <v>#REF!</v>
      </c>
      <c r="AD58" s="118" t="e">
        <f aca="false">(220.7^2-127^2)*3.14/4/10^6*200/40/60/60*1000*Y58</f>
        <v>#REF!</v>
      </c>
      <c r="AE58" s="118" t="e">
        <f aca="false">(#REF!-#REF!)/AE56</f>
        <v>#REF!</v>
      </c>
      <c r="AF58" s="1"/>
      <c r="AG58" s="124" t="e">
        <f aca="false">SUM(Z58:AE58)</f>
        <v>#REF!</v>
      </c>
    </row>
    <row r="59" customFormat="false" ht="13.5" hidden="false" customHeight="true" outlineLevel="0" collapsed="false">
      <c r="A59" s="133" t="n">
        <f aca="false">A58+1</f>
        <v>40</v>
      </c>
      <c r="B59" s="110" t="s">
        <v>76</v>
      </c>
      <c r="C59" s="111" t="s">
        <v>124</v>
      </c>
      <c r="D59" s="111"/>
      <c r="E59" s="112" t="n">
        <v>178</v>
      </c>
      <c r="F59" s="113" t="n">
        <f aca="false">G57</f>
        <v>3300</v>
      </c>
      <c r="G59" s="114" t="n">
        <v>0</v>
      </c>
      <c r="H59" s="113" t="n">
        <f aca="false">H58</f>
        <v>3286</v>
      </c>
      <c r="I59" s="100" t="n">
        <v>9</v>
      </c>
      <c r="J59" s="101" t="n">
        <f aca="false">IF(I59&lt;&gt;"",J58+I59/24,"")</f>
        <v>45500.5208333333</v>
      </c>
      <c r="K59" s="102" t="n">
        <v>3286</v>
      </c>
      <c r="L59" s="103" t="n">
        <v>9</v>
      </c>
      <c r="M59" s="103"/>
      <c r="N59" s="104" t="n">
        <f aca="false">IF(L59="","",L59-I59)</f>
        <v>0</v>
      </c>
      <c r="O59" s="105" t="n">
        <f aca="false">IF(L59&lt;&gt;"",O58+L59/24,O58+I59/24)</f>
        <v>45502.5208333334</v>
      </c>
      <c r="P59" s="142"/>
      <c r="Q59" s="107" t="n">
        <f aca="false">H59</f>
        <v>3286</v>
      </c>
      <c r="R59" s="99" t="n">
        <f aca="false">I59</f>
        <v>9</v>
      </c>
      <c r="S59" s="109"/>
      <c r="T59" s="1"/>
      <c r="U59" s="124"/>
      <c r="V59" s="119"/>
      <c r="W59" s="132"/>
      <c r="X59" s="120"/>
      <c r="Z59" s="1"/>
      <c r="AA59" s="1"/>
      <c r="AB59" s="1"/>
      <c r="AC59" s="1"/>
      <c r="AD59" s="1"/>
      <c r="AE59" s="1"/>
      <c r="AF59" s="1"/>
      <c r="AG59" s="1"/>
    </row>
    <row r="60" customFormat="false" ht="15.75" hidden="false" customHeight="true" outlineLevel="0" collapsed="false">
      <c r="A60" s="133" t="n">
        <f aca="false">A59+1</f>
        <v>41</v>
      </c>
      <c r="B60" s="110" t="s">
        <v>58</v>
      </c>
      <c r="C60" s="111" t="s">
        <v>125</v>
      </c>
      <c r="D60" s="111"/>
      <c r="E60" s="112" t="n">
        <v>178</v>
      </c>
      <c r="F60" s="113"/>
      <c r="G60" s="114"/>
      <c r="H60" s="113" t="n">
        <f aca="false">H59</f>
        <v>3286</v>
      </c>
      <c r="I60" s="100" t="n">
        <v>3.5</v>
      </c>
      <c r="J60" s="101" t="n">
        <f aca="false">IF(I60&lt;&gt;"",J59+I60/24,"")</f>
        <v>45500.6666666667</v>
      </c>
      <c r="K60" s="102" t="n">
        <v>3286</v>
      </c>
      <c r="L60" s="103" t="n">
        <v>2.5</v>
      </c>
      <c r="M60" s="103"/>
      <c r="N60" s="104" t="n">
        <f aca="false">IF(L60="","",L60-I60)</f>
        <v>-1</v>
      </c>
      <c r="O60" s="105" t="n">
        <f aca="false">IF(L60&lt;&gt;"",O59+L60/24,O59+I60/24)</f>
        <v>45502.625</v>
      </c>
      <c r="P60" s="106"/>
      <c r="Q60" s="107" t="n">
        <f aca="false">H60</f>
        <v>3286</v>
      </c>
      <c r="R60" s="99" t="n">
        <f aca="false">I60</f>
        <v>3.5</v>
      </c>
      <c r="S60" s="109"/>
      <c r="T60" s="1"/>
      <c r="U60" s="124" t="n">
        <v>170</v>
      </c>
      <c r="V60" s="119" t="e">
        <f aca="false">(#REF!-#REF!)/#REF!</f>
        <v>#REF!</v>
      </c>
      <c r="W60" s="125" t="e">
        <f aca="false">(#REF!-K51)/(#REF!-#REF!)</f>
        <v>#REF!</v>
      </c>
      <c r="X60" s="120"/>
      <c r="Z60" s="1"/>
      <c r="AA60" s="1"/>
      <c r="AB60" s="1"/>
      <c r="AC60" s="1"/>
      <c r="AD60" s="1"/>
      <c r="AE60" s="1"/>
      <c r="AF60" s="1"/>
      <c r="AG60" s="1"/>
    </row>
    <row r="61" customFormat="false" ht="18" hidden="false" customHeight="true" outlineLevel="0" collapsed="false">
      <c r="A61" s="133" t="n">
        <f aca="false">A60+1</f>
        <v>42</v>
      </c>
      <c r="B61" s="110" t="s">
        <v>92</v>
      </c>
      <c r="C61" s="111" t="s">
        <v>126</v>
      </c>
      <c r="D61" s="111"/>
      <c r="E61" s="112" t="n">
        <v>178</v>
      </c>
      <c r="F61" s="113"/>
      <c r="G61" s="114"/>
      <c r="H61" s="113" t="n">
        <f aca="false">H60</f>
        <v>3286</v>
      </c>
      <c r="I61" s="100" t="n">
        <v>1</v>
      </c>
      <c r="J61" s="101" t="n">
        <f aca="false">IF(I61&lt;&gt;"",J60+I61/24,"")</f>
        <v>45500.7083333333</v>
      </c>
      <c r="K61" s="102" t="n">
        <v>3286</v>
      </c>
      <c r="L61" s="103" t="n">
        <v>1</v>
      </c>
      <c r="M61" s="103"/>
      <c r="N61" s="104" t="n">
        <f aca="false">IF(L61="","",L61-I61)</f>
        <v>0</v>
      </c>
      <c r="O61" s="105" t="n">
        <f aca="false">IF(L61&lt;&gt;"",O60+L61/24,O60+I61/24)</f>
        <v>45502.6666666667</v>
      </c>
      <c r="P61" s="116"/>
      <c r="Q61" s="107" t="n">
        <f aca="false">H61</f>
        <v>3286</v>
      </c>
      <c r="R61" s="99" t="n">
        <f aca="false">I61</f>
        <v>1</v>
      </c>
      <c r="S61" s="109"/>
      <c r="T61" s="1"/>
      <c r="U61" s="124" t="n">
        <v>350</v>
      </c>
      <c r="V61" s="119" t="e">
        <f aca="false">(#REF!-#REF!)/#REF!</f>
        <v>#REF!</v>
      </c>
      <c r="W61" s="125" t="e">
        <f aca="false">(#REF!-K50)/(#REF!-#REF!)</f>
        <v>#REF!</v>
      </c>
      <c r="X61" s="120"/>
      <c r="Z61" s="1"/>
      <c r="AA61" s="1"/>
      <c r="AB61" s="1"/>
      <c r="AC61" s="1"/>
      <c r="AD61" s="1"/>
      <c r="AE61" s="1"/>
      <c r="AF61" s="1"/>
      <c r="AG61" s="1"/>
    </row>
    <row r="62" customFormat="false" ht="17.25" hidden="false" customHeight="true" outlineLevel="0" collapsed="false">
      <c r="A62" s="133" t="n">
        <f aca="false">A61+1</f>
        <v>43</v>
      </c>
      <c r="B62" s="110" t="s">
        <v>67</v>
      </c>
      <c r="C62" s="111" t="s">
        <v>127</v>
      </c>
      <c r="D62" s="111"/>
      <c r="E62" s="112" t="n">
        <v>178</v>
      </c>
      <c r="F62" s="113" t="n">
        <f aca="false">G59</f>
        <v>0</v>
      </c>
      <c r="G62" s="114" t="n">
        <f aca="false">F59</f>
        <v>3300</v>
      </c>
      <c r="H62" s="113" t="n">
        <f aca="false">H61</f>
        <v>3286</v>
      </c>
      <c r="I62" s="100" t="n">
        <v>19</v>
      </c>
      <c r="J62" s="101" t="n">
        <f aca="false">IF(I62&lt;&gt;"",J61+I62/24,"")</f>
        <v>45501.5</v>
      </c>
      <c r="K62" s="102" t="n">
        <v>3286</v>
      </c>
      <c r="L62" s="103" t="n">
        <v>19</v>
      </c>
      <c r="M62" s="103"/>
      <c r="N62" s="104" t="n">
        <f aca="false">IF(L62="","",L62-I62)</f>
        <v>0</v>
      </c>
      <c r="O62" s="105" t="n">
        <f aca="false">IF(L62&lt;&gt;"",O61+L62/24,O61+I62/24)</f>
        <v>45503.4583333334</v>
      </c>
      <c r="P62" s="106"/>
      <c r="Q62" s="107" t="n">
        <f aca="false">H62</f>
        <v>3286</v>
      </c>
      <c r="R62" s="99" t="n">
        <f aca="false">I62</f>
        <v>19</v>
      </c>
      <c r="S62" s="109"/>
      <c r="T62" s="1"/>
      <c r="U62" s="124"/>
      <c r="V62" s="119"/>
      <c r="W62" s="125"/>
      <c r="X62" s="120"/>
      <c r="Z62" s="1"/>
      <c r="AA62" s="1"/>
      <c r="AB62" s="1"/>
      <c r="AC62" s="1"/>
      <c r="AD62" s="1"/>
      <c r="AE62" s="1"/>
      <c r="AF62" s="1"/>
      <c r="AG62" s="1"/>
    </row>
    <row r="63" customFormat="false" ht="15.75" hidden="false" customHeight="true" outlineLevel="0" collapsed="false">
      <c r="A63" s="133" t="n">
        <f aca="false">A62+1</f>
        <v>44</v>
      </c>
      <c r="B63" s="110" t="s">
        <v>69</v>
      </c>
      <c r="C63" s="111" t="s">
        <v>128</v>
      </c>
      <c r="D63" s="111"/>
      <c r="E63" s="112" t="n">
        <v>178</v>
      </c>
      <c r="F63" s="113"/>
      <c r="G63" s="114"/>
      <c r="H63" s="113" t="n">
        <f aca="false">H62</f>
        <v>3286</v>
      </c>
      <c r="I63" s="100" t="n">
        <v>3</v>
      </c>
      <c r="J63" s="101" t="n">
        <f aca="false">IF(I63&lt;&gt;"",J62+I63/24,"")</f>
        <v>45501.625</v>
      </c>
      <c r="K63" s="102" t="n">
        <v>3286</v>
      </c>
      <c r="L63" s="103" t="n">
        <v>3</v>
      </c>
      <c r="M63" s="103"/>
      <c r="N63" s="104" t="n">
        <f aca="false">IF(L63="","",L63-I63)</f>
        <v>0</v>
      </c>
      <c r="O63" s="105" t="n">
        <f aca="false">IF(L63&lt;&gt;"",O62+L63/24,O62+I63/24)</f>
        <v>45503.5833333334</v>
      </c>
      <c r="P63" s="116"/>
      <c r="Q63" s="107" t="n">
        <f aca="false">H63</f>
        <v>3286</v>
      </c>
      <c r="R63" s="99" t="n">
        <f aca="false">I63</f>
        <v>3</v>
      </c>
      <c r="S63" s="109"/>
      <c r="T63" s="1"/>
      <c r="U63" s="118" t="n">
        <f aca="false">60/(5)*25.5</f>
        <v>306</v>
      </c>
      <c r="V63" s="119" t="e">
        <f aca="false">#REF!/#REF!</f>
        <v>#REF!</v>
      </c>
      <c r="W63" s="125" t="e">
        <f aca="false">#REF!/(#REF!-#REF!)</f>
        <v>#REF!</v>
      </c>
      <c r="X63" s="120"/>
      <c r="Z63" s="1"/>
      <c r="AA63" s="1"/>
      <c r="AB63" s="1"/>
      <c r="AC63" s="1"/>
      <c r="AD63" s="1"/>
      <c r="AE63" s="1"/>
      <c r="AF63" s="1"/>
      <c r="AG63" s="1"/>
    </row>
    <row r="64" customFormat="false" ht="12.75" hidden="false" customHeight="true" outlineLevel="0" collapsed="false">
      <c r="A64" s="133" t="n">
        <f aca="false">A63+1</f>
        <v>45</v>
      </c>
      <c r="B64" s="110" t="s">
        <v>67</v>
      </c>
      <c r="C64" s="111" t="s">
        <v>129</v>
      </c>
      <c r="D64" s="111"/>
      <c r="E64" s="112" t="n">
        <v>178</v>
      </c>
      <c r="F64" s="113"/>
      <c r="G64" s="114"/>
      <c r="H64" s="113" t="n">
        <f aca="false">H63</f>
        <v>3286</v>
      </c>
      <c r="I64" s="100" t="n">
        <v>3</v>
      </c>
      <c r="J64" s="101" t="n">
        <f aca="false">IF(I64&lt;&gt;"",J63+I64/24,"")</f>
        <v>45501.75</v>
      </c>
      <c r="K64" s="102" t="n">
        <v>3286</v>
      </c>
      <c r="L64" s="103" t="n">
        <v>3</v>
      </c>
      <c r="M64" s="103"/>
      <c r="N64" s="104" t="n">
        <f aca="false">IF(L64="","",L64-I64)</f>
        <v>0</v>
      </c>
      <c r="O64" s="105" t="n">
        <f aca="false">IF(L64&lt;&gt;"",O63+L64/24,O63+I64/24)</f>
        <v>45503.7083333334</v>
      </c>
      <c r="P64" s="116"/>
      <c r="Q64" s="107" t="n">
        <f aca="false">H64</f>
        <v>3286</v>
      </c>
      <c r="R64" s="99" t="n">
        <f aca="false">I64</f>
        <v>3</v>
      </c>
      <c r="S64" s="109"/>
      <c r="T64" s="1"/>
      <c r="U64" s="124"/>
      <c r="V64" s="119"/>
      <c r="W64" s="125"/>
      <c r="X64" s="120"/>
      <c r="Z64" s="1"/>
      <c r="AA64" s="1"/>
      <c r="AB64" s="1"/>
      <c r="AC64" s="1"/>
      <c r="AD64" s="1"/>
      <c r="AE64" s="1"/>
      <c r="AF64" s="1"/>
      <c r="AG64" s="1"/>
    </row>
    <row r="65" customFormat="false" ht="54.75" hidden="false" customHeight="true" outlineLevel="0" collapsed="false">
      <c r="A65" s="133" t="n">
        <f aca="false">A64+1</f>
        <v>46</v>
      </c>
      <c r="B65" s="110" t="s">
        <v>130</v>
      </c>
      <c r="C65" s="111" t="s">
        <v>131</v>
      </c>
      <c r="D65" s="111"/>
      <c r="E65" s="112" t="n">
        <v>178</v>
      </c>
      <c r="F65" s="113"/>
      <c r="G65" s="114"/>
      <c r="H65" s="113" t="n">
        <f aca="false">H64</f>
        <v>3286</v>
      </c>
      <c r="I65" s="100" t="n">
        <v>26</v>
      </c>
      <c r="J65" s="101" t="n">
        <f aca="false">IF(I65&lt;&gt;"",J64+I65/24,"")</f>
        <v>45502.8333333333</v>
      </c>
      <c r="K65" s="102" t="n">
        <v>3286</v>
      </c>
      <c r="L65" s="103" t="n">
        <v>32</v>
      </c>
      <c r="M65" s="122" t="n">
        <v>6</v>
      </c>
      <c r="N65" s="104" t="n">
        <f aca="false">IF(L65="","",L65-I65)</f>
        <v>6</v>
      </c>
      <c r="O65" s="105" t="n">
        <f aca="false">IF(L65&lt;&gt;"",O64+L65/24,O64+I65/24)</f>
        <v>45505.0416666667</v>
      </c>
      <c r="P65" s="128" t="s">
        <v>132</v>
      </c>
      <c r="Q65" s="107" t="n">
        <f aca="false">H65</f>
        <v>3286</v>
      </c>
      <c r="R65" s="99" t="n">
        <f aca="false">I65</f>
        <v>26</v>
      </c>
      <c r="S65" s="109"/>
      <c r="T65" s="1"/>
      <c r="U65" s="124"/>
      <c r="V65" s="119"/>
      <c r="W65" s="125"/>
      <c r="X65" s="120"/>
      <c r="Z65" s="1"/>
      <c r="AA65" s="1"/>
      <c r="AB65" s="1"/>
      <c r="AC65" s="1"/>
      <c r="AD65" s="1"/>
      <c r="AE65" s="1"/>
      <c r="AF65" s="1"/>
      <c r="AG65" s="1"/>
    </row>
    <row r="66" customFormat="false" ht="32.25" hidden="false" customHeight="true" outlineLevel="0" collapsed="false">
      <c r="A66" s="133" t="n">
        <f aca="false">A65+1</f>
        <v>47</v>
      </c>
      <c r="B66" s="110" t="s">
        <v>92</v>
      </c>
      <c r="C66" s="111" t="s">
        <v>133</v>
      </c>
      <c r="D66" s="111"/>
      <c r="E66" s="112" t="n">
        <v>178</v>
      </c>
      <c r="F66" s="113"/>
      <c r="G66" s="114"/>
      <c r="H66" s="113" t="n">
        <f aca="false">H65</f>
        <v>3286</v>
      </c>
      <c r="I66" s="100" t="n">
        <v>6</v>
      </c>
      <c r="J66" s="101" t="n">
        <f aca="false">IF(I66&lt;&gt;"",J65+I66/24,"")</f>
        <v>45503.0833333333</v>
      </c>
      <c r="K66" s="102" t="n">
        <v>3286</v>
      </c>
      <c r="L66" s="103" t="n">
        <v>6</v>
      </c>
      <c r="M66" s="134"/>
      <c r="N66" s="104" t="n">
        <f aca="false">IF(L66="","",L66-I66)</f>
        <v>0</v>
      </c>
      <c r="O66" s="105" t="n">
        <f aca="false">IF(L66&lt;&gt;"",O65+L66/24,O65+I66/24)</f>
        <v>45505.2916666667</v>
      </c>
      <c r="P66" s="106"/>
      <c r="Q66" s="107" t="n">
        <f aca="false">H66</f>
        <v>3286</v>
      </c>
      <c r="R66" s="99" t="n">
        <f aca="false">I66</f>
        <v>6</v>
      </c>
      <c r="S66" s="109"/>
      <c r="T66" s="1"/>
      <c r="U66" s="124"/>
      <c r="V66" s="119"/>
      <c r="W66" s="125"/>
      <c r="X66" s="120"/>
      <c r="Z66" s="1"/>
      <c r="AA66" s="1"/>
      <c r="AB66" s="1"/>
      <c r="AC66" s="1"/>
      <c r="AD66" s="1"/>
      <c r="AE66" s="1"/>
      <c r="AF66" s="1"/>
      <c r="AG66" s="1"/>
    </row>
    <row r="67" customFormat="false" ht="61.5" hidden="false" customHeight="true" outlineLevel="0" collapsed="false">
      <c r="A67" s="133" t="n">
        <f aca="false">A66+1</f>
        <v>48</v>
      </c>
      <c r="B67" s="110" t="s">
        <v>134</v>
      </c>
      <c r="C67" s="111" t="s">
        <v>135</v>
      </c>
      <c r="D67" s="111"/>
      <c r="E67" s="112" t="n">
        <v>178</v>
      </c>
      <c r="F67" s="113" t="n">
        <v>1000</v>
      </c>
      <c r="G67" s="114" t="n">
        <v>0</v>
      </c>
      <c r="H67" s="113" t="n">
        <f aca="false">H66</f>
        <v>3286</v>
      </c>
      <c r="I67" s="100" t="n">
        <v>12</v>
      </c>
      <c r="J67" s="101" t="n">
        <f aca="false">IF(I67&lt;&gt;"",J66+I67/24,"")</f>
        <v>45503.5833333333</v>
      </c>
      <c r="K67" s="102" t="n">
        <v>3286</v>
      </c>
      <c r="L67" s="103" t="n">
        <v>15</v>
      </c>
      <c r="M67" s="122" t="n">
        <v>3</v>
      </c>
      <c r="N67" s="104" t="n">
        <f aca="false">IF(L67="","",L67-I67)</f>
        <v>3</v>
      </c>
      <c r="O67" s="105" t="n">
        <f aca="false">IF(L67&lt;&gt;"",O66+L67/24,O66+I67/24)</f>
        <v>45505.9166666667</v>
      </c>
      <c r="P67" s="106" t="s">
        <v>136</v>
      </c>
      <c r="Q67" s="107" t="n">
        <f aca="false">H67</f>
        <v>3286</v>
      </c>
      <c r="R67" s="99" t="n">
        <f aca="false">I67</f>
        <v>12</v>
      </c>
      <c r="S67" s="109"/>
      <c r="T67" s="1"/>
      <c r="U67" s="124"/>
      <c r="V67" s="119"/>
      <c r="W67" s="125"/>
      <c r="X67" s="120"/>
      <c r="Z67" s="1"/>
      <c r="AA67" s="1"/>
      <c r="AB67" s="1"/>
      <c r="AC67" s="1"/>
      <c r="AD67" s="1"/>
      <c r="AE67" s="1"/>
      <c r="AF67" s="1"/>
      <c r="AG67" s="1"/>
    </row>
    <row r="68" customFormat="false" ht="15" hidden="false" customHeight="true" outlineLevel="0" collapsed="false">
      <c r="A68" s="133" t="n">
        <f aca="false">A67+1</f>
        <v>49</v>
      </c>
      <c r="B68" s="110" t="s">
        <v>92</v>
      </c>
      <c r="C68" s="144" t="s">
        <v>137</v>
      </c>
      <c r="D68" s="144"/>
      <c r="E68" s="145" t="n">
        <v>178</v>
      </c>
      <c r="F68" s="146"/>
      <c r="G68" s="147"/>
      <c r="H68" s="146" t="n">
        <f aca="false">H67</f>
        <v>3286</v>
      </c>
      <c r="I68" s="148" t="n">
        <v>6</v>
      </c>
      <c r="J68" s="149" t="n">
        <f aca="false">IF(I68&lt;&gt;"",J67+I68/24,"")</f>
        <v>45503.8333333333</v>
      </c>
      <c r="K68" s="102" t="n">
        <v>3286</v>
      </c>
      <c r="L68" s="150" t="n">
        <v>0</v>
      </c>
      <c r="M68" s="151"/>
      <c r="N68" s="152" t="n">
        <f aca="false">IF(L68="","",L68-I68)</f>
        <v>-6</v>
      </c>
      <c r="O68" s="153" t="n">
        <f aca="false">IF(L68&lt;&gt;"",O67+L68/24,O67+I68/24)</f>
        <v>45505.9166666667</v>
      </c>
      <c r="P68" s="106"/>
      <c r="Q68" s="107" t="n">
        <f aca="false">H68</f>
        <v>3286</v>
      </c>
      <c r="R68" s="99" t="n">
        <f aca="false">I68</f>
        <v>6</v>
      </c>
      <c r="S68" s="109"/>
      <c r="T68" s="1"/>
      <c r="U68" s="124"/>
      <c r="V68" s="119"/>
      <c r="W68" s="125"/>
      <c r="X68" s="120"/>
      <c r="Z68" s="1"/>
      <c r="AA68" s="1"/>
      <c r="AB68" s="1"/>
      <c r="AC68" s="1"/>
      <c r="AD68" s="1"/>
      <c r="AE68" s="1"/>
      <c r="AF68" s="1"/>
      <c r="AG68" s="1"/>
    </row>
    <row r="69" customFormat="false" ht="30" hidden="false" customHeight="true" outlineLevel="0" collapsed="false">
      <c r="A69" s="133" t="n">
        <f aca="false">A68+1</f>
        <v>50</v>
      </c>
      <c r="B69" s="110" t="s">
        <v>138</v>
      </c>
      <c r="C69" s="111" t="s">
        <v>139</v>
      </c>
      <c r="D69" s="111"/>
      <c r="E69" s="112" t="n">
        <v>178</v>
      </c>
      <c r="F69" s="113"/>
      <c r="G69" s="114"/>
      <c r="H69" s="113" t="n">
        <f aca="false">H68</f>
        <v>3286</v>
      </c>
      <c r="I69" s="100" t="n">
        <v>1</v>
      </c>
      <c r="J69" s="101" t="n">
        <f aca="false">IF(I69&lt;&gt;"",J68+I69/24,"")</f>
        <v>45503.875</v>
      </c>
      <c r="K69" s="102" t="n">
        <v>3286</v>
      </c>
      <c r="L69" s="103" t="n">
        <v>1</v>
      </c>
      <c r="M69" s="122"/>
      <c r="N69" s="104" t="n">
        <f aca="false">IF(L69="","",L69-I69)</f>
        <v>0</v>
      </c>
      <c r="O69" s="105" t="n">
        <f aca="false">IF(L69&lt;&gt;"",O68+L69/24,O68+I69/24)</f>
        <v>45505.9583333334</v>
      </c>
      <c r="P69" s="154" t="s">
        <v>140</v>
      </c>
      <c r="Q69" s="107" t="n">
        <f aca="false">H69</f>
        <v>3286</v>
      </c>
      <c r="R69" s="99" t="n">
        <f aca="false">I69</f>
        <v>1</v>
      </c>
      <c r="S69" s="109"/>
      <c r="T69" s="1"/>
      <c r="U69" s="124"/>
      <c r="V69" s="119"/>
      <c r="W69" s="125"/>
      <c r="X69" s="120"/>
      <c r="Z69" s="1"/>
      <c r="AA69" s="1"/>
      <c r="AB69" s="1"/>
      <c r="AC69" s="1"/>
      <c r="AD69" s="1"/>
      <c r="AE69" s="1"/>
      <c r="AF69" s="1"/>
      <c r="AG69" s="1"/>
    </row>
    <row r="70" customFormat="false" ht="12" hidden="false" customHeight="true" outlineLevel="0" collapsed="false">
      <c r="A70" s="133" t="n">
        <f aca="false">A69+1</f>
        <v>51</v>
      </c>
      <c r="B70" s="110" t="s">
        <v>58</v>
      </c>
      <c r="C70" s="111" t="s">
        <v>141</v>
      </c>
      <c r="D70" s="111"/>
      <c r="E70" s="112" t="n">
        <v>178</v>
      </c>
      <c r="F70" s="113"/>
      <c r="G70" s="114"/>
      <c r="H70" s="113" t="n">
        <f aca="false">H69</f>
        <v>3286</v>
      </c>
      <c r="I70" s="100" t="n">
        <v>4</v>
      </c>
      <c r="J70" s="101" t="n">
        <f aca="false">IF(I70&lt;&gt;"",J69+I70/24,"")</f>
        <v>45504.0416666667</v>
      </c>
      <c r="K70" s="102" t="n">
        <v>3286</v>
      </c>
      <c r="L70" s="103" t="n">
        <v>4</v>
      </c>
      <c r="M70" s="122"/>
      <c r="N70" s="104" t="n">
        <f aca="false">IF(L70="","",L70-I70)</f>
        <v>0</v>
      </c>
      <c r="O70" s="105" t="n">
        <f aca="false">IF(L70&lt;&gt;"",O69+L70/24,O69+I70/24)</f>
        <v>45506.125</v>
      </c>
      <c r="P70" s="128"/>
      <c r="Q70" s="129" t="n">
        <f aca="false">H70</f>
        <v>3286</v>
      </c>
      <c r="R70" s="108" t="n">
        <f aca="false">I70</f>
        <v>4</v>
      </c>
      <c r="S70" s="109"/>
      <c r="T70" s="1"/>
      <c r="U70" s="124"/>
      <c r="V70" s="119"/>
      <c r="W70" s="125"/>
      <c r="X70" s="120"/>
      <c r="Z70" s="1"/>
      <c r="AA70" s="1"/>
      <c r="AB70" s="1"/>
      <c r="AC70" s="1"/>
      <c r="AD70" s="1"/>
      <c r="AE70" s="1"/>
      <c r="AF70" s="1"/>
      <c r="AG70" s="1"/>
    </row>
    <row r="71" customFormat="false" ht="33" hidden="false" customHeight="true" outlineLevel="0" collapsed="false">
      <c r="A71" s="133" t="n">
        <f aca="false">A70+1</f>
        <v>52</v>
      </c>
      <c r="B71" s="110" t="s">
        <v>76</v>
      </c>
      <c r="C71" s="155" t="s">
        <v>142</v>
      </c>
      <c r="D71" s="155"/>
      <c r="E71" s="112" t="n">
        <v>114</v>
      </c>
      <c r="F71" s="113"/>
      <c r="G71" s="114"/>
      <c r="H71" s="113" t="n">
        <f aca="false">H70</f>
        <v>3286</v>
      </c>
      <c r="I71" s="100" t="n">
        <v>17</v>
      </c>
      <c r="J71" s="101" t="n">
        <f aca="false">IF(I71&lt;&gt;"",J70+I71/24,"")</f>
        <v>45504.75</v>
      </c>
      <c r="K71" s="102" t="n">
        <v>3286</v>
      </c>
      <c r="L71" s="103" t="n">
        <v>17.5</v>
      </c>
      <c r="M71" s="122"/>
      <c r="N71" s="104" t="n">
        <f aca="false">IF(L71="","",L71-I71)</f>
        <v>0.5</v>
      </c>
      <c r="O71" s="105" t="n">
        <f aca="false">IF(L71&lt;&gt;"",O70+L71/24,O70+I71/24)</f>
        <v>45506.8541666667</v>
      </c>
      <c r="P71" s="154" t="s">
        <v>143</v>
      </c>
      <c r="Q71" s="129" t="n">
        <f aca="false">H71</f>
        <v>3286</v>
      </c>
      <c r="R71" s="108" t="n">
        <f aca="false">I71</f>
        <v>17</v>
      </c>
      <c r="S71" s="109"/>
      <c r="T71" s="1"/>
      <c r="U71" s="124"/>
      <c r="V71" s="119"/>
      <c r="W71" s="125"/>
      <c r="X71" s="120"/>
      <c r="Z71" s="1"/>
      <c r="AA71" s="1"/>
      <c r="AB71" s="1"/>
      <c r="AC71" s="1"/>
      <c r="AD71" s="1"/>
      <c r="AE71" s="1"/>
      <c r="AF71" s="1"/>
      <c r="AG71" s="1"/>
    </row>
    <row r="72" customFormat="false" ht="17.25" hidden="false" customHeight="true" outlineLevel="0" collapsed="false">
      <c r="A72" s="133" t="n">
        <f aca="false">A71+1</f>
        <v>53</v>
      </c>
      <c r="B72" s="110" t="s">
        <v>69</v>
      </c>
      <c r="C72" s="111" t="s">
        <v>144</v>
      </c>
      <c r="D72" s="111"/>
      <c r="E72" s="112" t="n">
        <v>114</v>
      </c>
      <c r="F72" s="113"/>
      <c r="G72" s="114"/>
      <c r="H72" s="113" t="n">
        <f aca="false">H71</f>
        <v>3286</v>
      </c>
      <c r="I72" s="100" t="n">
        <v>3</v>
      </c>
      <c r="J72" s="101" t="n">
        <f aca="false">IF(I72&lt;&gt;"",J71+I72/24,"")</f>
        <v>45504.875</v>
      </c>
      <c r="K72" s="102" t="n">
        <v>3286</v>
      </c>
      <c r="L72" s="103" t="n">
        <v>2</v>
      </c>
      <c r="M72" s="122"/>
      <c r="N72" s="104" t="n">
        <f aca="false">IF(L72="","",L72-I72)</f>
        <v>-1</v>
      </c>
      <c r="O72" s="105" t="n">
        <f aca="false">IF(L72&lt;&gt;"",O71+L72/24,O71+I72/24)</f>
        <v>45506.9375</v>
      </c>
      <c r="P72" s="128"/>
      <c r="Q72" s="129" t="n">
        <f aca="false">H72</f>
        <v>3286</v>
      </c>
      <c r="R72" s="108" t="n">
        <f aca="false">I72</f>
        <v>3</v>
      </c>
      <c r="S72" s="109"/>
      <c r="T72" s="1"/>
      <c r="U72" s="124"/>
      <c r="V72" s="119"/>
      <c r="W72" s="125"/>
      <c r="X72" s="120"/>
      <c r="Z72" s="1"/>
      <c r="AA72" s="1"/>
      <c r="AB72" s="1"/>
      <c r="AC72" s="1"/>
      <c r="AD72" s="1"/>
      <c r="AE72" s="1"/>
      <c r="AF72" s="1"/>
      <c r="AG72" s="1"/>
    </row>
    <row r="73" customFormat="false" ht="26.25" hidden="false" customHeight="true" outlineLevel="0" collapsed="false">
      <c r="A73" s="133" t="n">
        <f aca="false">A72+1</f>
        <v>54</v>
      </c>
      <c r="B73" s="110" t="s">
        <v>60</v>
      </c>
      <c r="C73" s="111" t="s">
        <v>145</v>
      </c>
      <c r="D73" s="111"/>
      <c r="E73" s="112" t="n">
        <v>114</v>
      </c>
      <c r="F73" s="113" t="n">
        <f aca="false">G62-3</f>
        <v>3297</v>
      </c>
      <c r="G73" s="114" t="n">
        <f aca="false">G62</f>
        <v>3300</v>
      </c>
      <c r="H73" s="113" t="n">
        <f aca="false">H72</f>
        <v>3286</v>
      </c>
      <c r="I73" s="100" t="n">
        <v>4</v>
      </c>
      <c r="J73" s="101" t="n">
        <f aca="false">IF(I73&lt;&gt;"",J72+I73/24,"")</f>
        <v>45505.0416666667</v>
      </c>
      <c r="K73" s="102" t="n">
        <v>3286</v>
      </c>
      <c r="L73" s="103" t="n">
        <v>2</v>
      </c>
      <c r="M73" s="122"/>
      <c r="N73" s="104" t="n">
        <f aca="false">IF(L73="","",L73-I73)</f>
        <v>-2</v>
      </c>
      <c r="O73" s="105" t="n">
        <f aca="false">IF(L73&lt;&gt;"",O72+L73/24,O72+I73/24)</f>
        <v>45507.0208333334</v>
      </c>
      <c r="P73" s="106"/>
      <c r="Q73" s="129" t="n">
        <f aca="false">H73</f>
        <v>3286</v>
      </c>
      <c r="R73" s="108" t="n">
        <f aca="false">I73</f>
        <v>4</v>
      </c>
      <c r="S73" s="109"/>
      <c r="T73" s="1"/>
      <c r="U73" s="124"/>
      <c r="V73" s="119"/>
      <c r="W73" s="125"/>
      <c r="X73" s="120"/>
      <c r="Z73" s="1"/>
      <c r="AA73" s="1"/>
      <c r="AB73" s="1"/>
      <c r="AC73" s="1"/>
      <c r="AD73" s="1"/>
      <c r="AE73" s="1"/>
      <c r="AF73" s="1"/>
      <c r="AG73" s="1"/>
    </row>
    <row r="74" customFormat="false" ht="25.5" hidden="false" customHeight="true" outlineLevel="0" collapsed="false">
      <c r="A74" s="133" t="n">
        <f aca="false">A73+1</f>
        <v>55</v>
      </c>
      <c r="B74" s="94" t="s">
        <v>60</v>
      </c>
      <c r="C74" s="95" t="s">
        <v>146</v>
      </c>
      <c r="D74" s="95"/>
      <c r="E74" s="96" t="n">
        <v>114</v>
      </c>
      <c r="F74" s="97" t="n">
        <f aca="false">G73</f>
        <v>3300</v>
      </c>
      <c r="G74" s="98" t="n">
        <f aca="false">E8</f>
        <v>4449</v>
      </c>
      <c r="H74" s="127" t="n">
        <f aca="false">G74</f>
        <v>4449</v>
      </c>
      <c r="I74" s="100" t="n">
        <v>105</v>
      </c>
      <c r="J74" s="101" t="n">
        <f aca="false">IF(I74&lt;&gt;"",J73+I74/24,"")</f>
        <v>45509.4166666667</v>
      </c>
      <c r="K74" s="102" t="n">
        <v>4212</v>
      </c>
      <c r="L74" s="103" t="n">
        <v>95.5</v>
      </c>
      <c r="M74" s="122"/>
      <c r="N74" s="104" t="n">
        <f aca="false">IF(L74="","",L74-I74)</f>
        <v>-9.5</v>
      </c>
      <c r="O74" s="105" t="n">
        <f aca="false">IF(L74&lt;&gt;"",O73+L74/24,O73+I74/24)</f>
        <v>45511</v>
      </c>
      <c r="P74" s="128"/>
      <c r="Q74" s="129" t="n">
        <f aca="false">H74</f>
        <v>4449</v>
      </c>
      <c r="R74" s="108" t="n">
        <f aca="false">I74</f>
        <v>105</v>
      </c>
      <c r="S74" s="109"/>
      <c r="T74" s="1"/>
      <c r="U74" s="124"/>
      <c r="V74" s="119"/>
      <c r="W74" s="132"/>
      <c r="X74" s="120"/>
      <c r="Z74" s="1"/>
      <c r="AA74" s="1"/>
      <c r="AB74" s="1"/>
      <c r="AC74" s="1"/>
      <c r="AD74" s="1"/>
      <c r="AE74" s="137" t="s">
        <v>80</v>
      </c>
      <c r="AF74" s="1"/>
      <c r="AG74" s="1"/>
    </row>
    <row r="75" customFormat="false" ht="16.5" hidden="false" customHeight="true" outlineLevel="0" collapsed="false">
      <c r="A75" s="133" t="n">
        <f aca="false">A74+1</f>
        <v>56</v>
      </c>
      <c r="B75" s="110" t="s">
        <v>69</v>
      </c>
      <c r="C75" s="111" t="s">
        <v>147</v>
      </c>
      <c r="D75" s="111"/>
      <c r="E75" s="112" t="n">
        <v>114</v>
      </c>
      <c r="F75" s="113"/>
      <c r="G75" s="114"/>
      <c r="H75" s="113" t="n">
        <f aca="false">H74</f>
        <v>4449</v>
      </c>
      <c r="I75" s="100" t="n">
        <v>3</v>
      </c>
      <c r="J75" s="101" t="n">
        <f aca="false">IF(I75&lt;&gt;"",J74+I75/24,"")</f>
        <v>45509.5416666667</v>
      </c>
      <c r="K75" s="102"/>
      <c r="L75" s="103"/>
      <c r="M75" s="103"/>
      <c r="N75" s="104" t="str">
        <f aca="false">IF(L75="","",L75-I75)</f>
        <v/>
      </c>
      <c r="O75" s="105" t="n">
        <f aca="false">IF(L75&lt;&gt;"",O74+L75/24,O74+I75/24)</f>
        <v>45511.125</v>
      </c>
      <c r="P75" s="116"/>
      <c r="Q75" s="129" t="n">
        <f aca="false">H75</f>
        <v>4449</v>
      </c>
      <c r="R75" s="108" t="n">
        <f aca="false">I75</f>
        <v>3</v>
      </c>
      <c r="S75" s="109"/>
      <c r="T75" s="1"/>
      <c r="U75" s="124"/>
      <c r="V75" s="119"/>
      <c r="W75" s="132"/>
      <c r="X75" s="120"/>
      <c r="Y75" s="130" t="s">
        <v>85</v>
      </c>
      <c r="Z75" s="26" t="s">
        <v>86</v>
      </c>
      <c r="AA75" s="26" t="s">
        <v>87</v>
      </c>
      <c r="AB75" s="26" t="s">
        <v>88</v>
      </c>
      <c r="AC75" s="26" t="s">
        <v>89</v>
      </c>
      <c r="AD75" s="26" t="s">
        <v>90</v>
      </c>
      <c r="AE75" s="139" t="n">
        <v>65</v>
      </c>
      <c r="AF75" s="1"/>
      <c r="AG75" s="1" t="s">
        <v>115</v>
      </c>
      <c r="AH75" s="2" t="s">
        <v>116</v>
      </c>
      <c r="AI75" s="120" t="e">
        <f aca="false">(#REF!-F53)/SUM(AE83,AE85,AE87,#REF!)</f>
        <v>#REF!</v>
      </c>
    </row>
    <row r="76" customFormat="false" ht="28.5" hidden="false" customHeight="true" outlineLevel="0" collapsed="false">
      <c r="A76" s="133" t="n">
        <f aca="false">A75+1</f>
        <v>57</v>
      </c>
      <c r="B76" s="135" t="s">
        <v>76</v>
      </c>
      <c r="C76" s="111" t="s">
        <v>148</v>
      </c>
      <c r="D76" s="111"/>
      <c r="E76" s="112" t="n">
        <v>114</v>
      </c>
      <c r="F76" s="113" t="n">
        <f aca="false">G74</f>
        <v>4449</v>
      </c>
      <c r="G76" s="114" t="n">
        <f aca="false">F74</f>
        <v>3300</v>
      </c>
      <c r="H76" s="113" t="n">
        <f aca="false">H75</f>
        <v>4449</v>
      </c>
      <c r="I76" s="100" t="n">
        <v>9</v>
      </c>
      <c r="J76" s="101" t="n">
        <f aca="false">IF(I76&lt;&gt;"",J75+I76/24,"")</f>
        <v>45509.9166666667</v>
      </c>
      <c r="K76" s="102"/>
      <c r="L76" s="103"/>
      <c r="M76" s="122"/>
      <c r="N76" s="104" t="str">
        <f aca="false">IF(L76="","",L76-I76)</f>
        <v/>
      </c>
      <c r="O76" s="105" t="n">
        <f aca="false">IF(L76&lt;&gt;"",O75+L76/24,O75+I76/24)</f>
        <v>45511.5</v>
      </c>
      <c r="P76" s="116"/>
      <c r="Q76" s="129" t="n">
        <f aca="false">H76</f>
        <v>4449</v>
      </c>
      <c r="R76" s="108" t="n">
        <f aca="false">I76</f>
        <v>9</v>
      </c>
      <c r="S76" s="109"/>
      <c r="T76" s="1"/>
      <c r="U76" s="124"/>
      <c r="V76" s="119"/>
      <c r="W76" s="132"/>
      <c r="X76" s="120"/>
      <c r="Y76" s="130"/>
      <c r="Z76" s="26"/>
      <c r="AA76" s="26"/>
      <c r="AB76" s="26"/>
      <c r="AC76" s="26"/>
      <c r="AD76" s="26"/>
      <c r="AE76" s="139"/>
      <c r="AF76" s="1"/>
      <c r="AG76" s="1"/>
      <c r="AI76" s="120"/>
    </row>
    <row r="77" customFormat="false" ht="56.25" hidden="false" customHeight="true" outlineLevel="0" collapsed="false">
      <c r="A77" s="133" t="n">
        <f aca="false">A76+1</f>
        <v>58</v>
      </c>
      <c r="B77" s="135" t="s">
        <v>62</v>
      </c>
      <c r="C77" s="111" t="s">
        <v>149</v>
      </c>
      <c r="D77" s="111"/>
      <c r="E77" s="112" t="n">
        <v>114</v>
      </c>
      <c r="F77" s="113" t="n">
        <f aca="false">G76</f>
        <v>3300</v>
      </c>
      <c r="G77" s="114" t="n">
        <f aca="false">F76</f>
        <v>4449</v>
      </c>
      <c r="H77" s="113" t="n">
        <f aca="false">H76</f>
        <v>4449</v>
      </c>
      <c r="I77" s="100" t="n">
        <v>30</v>
      </c>
      <c r="J77" s="101" t="n">
        <f aca="false">IF(I77&lt;&gt;"",J76+I77/24,"")</f>
        <v>45511.1666666667</v>
      </c>
      <c r="K77" s="102"/>
      <c r="L77" s="103"/>
      <c r="M77" s="122"/>
      <c r="N77" s="104"/>
      <c r="O77" s="105" t="n">
        <f aca="false">IF(L77&lt;&gt;"",O76+L77/24,O76+I77/24)</f>
        <v>45512.75</v>
      </c>
      <c r="P77" s="116"/>
      <c r="Q77" s="129" t="n">
        <f aca="false">H77</f>
        <v>4449</v>
      </c>
      <c r="R77" s="108" t="n">
        <f aca="false">I77</f>
        <v>30</v>
      </c>
      <c r="S77" s="109"/>
      <c r="T77" s="1"/>
      <c r="U77" s="124"/>
      <c r="V77" s="119"/>
      <c r="W77" s="132"/>
      <c r="X77" s="120"/>
      <c r="Y77" s="130"/>
      <c r="Z77" s="26"/>
      <c r="AA77" s="26"/>
      <c r="AB77" s="26"/>
      <c r="AC77" s="26"/>
      <c r="AD77" s="26"/>
      <c r="AE77" s="139"/>
      <c r="AF77" s="1"/>
      <c r="AG77" s="1"/>
      <c r="AI77" s="120"/>
    </row>
    <row r="78" customFormat="false" ht="18" hidden="false" customHeight="true" outlineLevel="0" collapsed="false">
      <c r="A78" s="133" t="n">
        <f aca="false">A77+1</f>
        <v>59</v>
      </c>
      <c r="B78" s="135" t="s">
        <v>69</v>
      </c>
      <c r="C78" s="111" t="s">
        <v>150</v>
      </c>
      <c r="D78" s="111"/>
      <c r="E78" s="112" t="n">
        <v>114</v>
      </c>
      <c r="F78" s="113"/>
      <c r="G78" s="114"/>
      <c r="H78" s="113" t="n">
        <f aca="false">H77</f>
        <v>4449</v>
      </c>
      <c r="I78" s="100" t="n">
        <v>3.5</v>
      </c>
      <c r="J78" s="101" t="n">
        <f aca="false">IF(I78&lt;&gt;"",J77+I78/24,"")</f>
        <v>45511.3125</v>
      </c>
      <c r="K78" s="102"/>
      <c r="L78" s="103"/>
      <c r="M78" s="122"/>
      <c r="N78" s="104"/>
      <c r="O78" s="105" t="n">
        <f aca="false">IF(L78&lt;&gt;"",O77+L78/24,O77+I78/24)</f>
        <v>45512.8958333334</v>
      </c>
      <c r="P78" s="116"/>
      <c r="Q78" s="129" t="n">
        <f aca="false">H78</f>
        <v>4449</v>
      </c>
      <c r="R78" s="108" t="n">
        <f aca="false">I78</f>
        <v>3.5</v>
      </c>
      <c r="S78" s="109"/>
      <c r="T78" s="1"/>
      <c r="U78" s="124"/>
      <c r="V78" s="119"/>
      <c r="W78" s="132"/>
      <c r="X78" s="120"/>
      <c r="Y78" s="130"/>
      <c r="Z78" s="26"/>
      <c r="AA78" s="26"/>
      <c r="AB78" s="26"/>
      <c r="AC78" s="26"/>
      <c r="AD78" s="26"/>
      <c r="AE78" s="139"/>
      <c r="AF78" s="1"/>
      <c r="AG78" s="1"/>
      <c r="AI78" s="120"/>
    </row>
    <row r="79" customFormat="false" ht="15" hidden="false" customHeight="true" outlineLevel="0" collapsed="false">
      <c r="A79" s="133" t="n">
        <f aca="false">A78+1</f>
        <v>60</v>
      </c>
      <c r="B79" s="135" t="s">
        <v>76</v>
      </c>
      <c r="C79" s="111" t="s">
        <v>124</v>
      </c>
      <c r="D79" s="111"/>
      <c r="E79" s="112" t="n">
        <v>114</v>
      </c>
      <c r="F79" s="113" t="n">
        <f aca="false">G77</f>
        <v>4449</v>
      </c>
      <c r="G79" s="114" t="n">
        <v>0</v>
      </c>
      <c r="H79" s="113" t="n">
        <f aca="false">H78</f>
        <v>4449</v>
      </c>
      <c r="I79" s="100" t="n">
        <v>15</v>
      </c>
      <c r="J79" s="101" t="n">
        <f aca="false">IF(I79&lt;&gt;"",J78+I79/24,"")</f>
        <v>45511.9375</v>
      </c>
      <c r="K79" s="102"/>
      <c r="L79" s="103"/>
      <c r="M79" s="122"/>
      <c r="N79" s="104"/>
      <c r="O79" s="105" t="n">
        <f aca="false">IF(L79&lt;&gt;"",O78+L79/24,O78+I79/24)</f>
        <v>45513.5208333334</v>
      </c>
      <c r="P79" s="116"/>
      <c r="Q79" s="129" t="n">
        <f aca="false">H79</f>
        <v>4449</v>
      </c>
      <c r="R79" s="108" t="n">
        <f aca="false">I79</f>
        <v>15</v>
      </c>
      <c r="S79" s="109"/>
      <c r="T79" s="1"/>
      <c r="U79" s="124"/>
      <c r="V79" s="119"/>
      <c r="W79" s="132"/>
      <c r="X79" s="120"/>
      <c r="Y79" s="130"/>
      <c r="Z79" s="26"/>
      <c r="AA79" s="26"/>
      <c r="AB79" s="26"/>
      <c r="AC79" s="26"/>
      <c r="AD79" s="26"/>
      <c r="AE79" s="139"/>
      <c r="AF79" s="1"/>
      <c r="AG79" s="1"/>
      <c r="AI79" s="120"/>
    </row>
    <row r="80" customFormat="false" ht="15" hidden="false" customHeight="true" outlineLevel="0" collapsed="false">
      <c r="A80" s="133" t="n">
        <f aca="false">A79+1</f>
        <v>61</v>
      </c>
      <c r="B80" s="135" t="s">
        <v>58</v>
      </c>
      <c r="C80" s="111" t="s">
        <v>64</v>
      </c>
      <c r="D80" s="111"/>
      <c r="E80" s="112" t="n">
        <v>114</v>
      </c>
      <c r="F80" s="113"/>
      <c r="G80" s="114"/>
      <c r="H80" s="113" t="n">
        <f aca="false">H79</f>
        <v>4449</v>
      </c>
      <c r="I80" s="100" t="n">
        <v>2</v>
      </c>
      <c r="J80" s="101" t="n">
        <f aca="false">IF(I80&lt;&gt;"",J79+I80/24,"")</f>
        <v>45512.0208333333</v>
      </c>
      <c r="K80" s="102"/>
      <c r="L80" s="103"/>
      <c r="M80" s="122"/>
      <c r="N80" s="104"/>
      <c r="O80" s="105" t="n">
        <f aca="false">IF(L80&lt;&gt;"",O79+L80/24,O79+I80/24)</f>
        <v>45513.6041666667</v>
      </c>
      <c r="P80" s="116"/>
      <c r="Q80" s="129" t="n">
        <f aca="false">H80</f>
        <v>4449</v>
      </c>
      <c r="R80" s="108" t="n">
        <f aca="false">I80</f>
        <v>2</v>
      </c>
      <c r="S80" s="109"/>
      <c r="T80" s="1"/>
      <c r="U80" s="124"/>
      <c r="V80" s="119"/>
      <c r="W80" s="132"/>
      <c r="X80" s="120"/>
      <c r="Y80" s="130"/>
      <c r="Z80" s="26"/>
      <c r="AA80" s="26"/>
      <c r="AB80" s="26"/>
      <c r="AC80" s="26"/>
      <c r="AD80" s="26"/>
      <c r="AE80" s="139"/>
      <c r="AF80" s="1"/>
      <c r="AG80" s="1"/>
      <c r="AI80" s="120"/>
    </row>
    <row r="81" customFormat="false" ht="15" hidden="false" customHeight="true" outlineLevel="0" collapsed="false">
      <c r="A81" s="133" t="n">
        <f aca="false">A80+1</f>
        <v>62</v>
      </c>
      <c r="B81" s="135" t="s">
        <v>67</v>
      </c>
      <c r="C81" s="111" t="s">
        <v>151</v>
      </c>
      <c r="D81" s="111"/>
      <c r="E81" s="112" t="n">
        <v>114</v>
      </c>
      <c r="F81" s="113"/>
      <c r="G81" s="114"/>
      <c r="H81" s="113" t="n">
        <f aca="false">H80</f>
        <v>4449</v>
      </c>
      <c r="I81" s="100" t="n">
        <v>1</v>
      </c>
      <c r="J81" s="101" t="n">
        <f aca="false">IF(I81&lt;&gt;"",J80+I81/24,"")</f>
        <v>45512.0625</v>
      </c>
      <c r="K81" s="102"/>
      <c r="L81" s="103"/>
      <c r="M81" s="122"/>
      <c r="N81" s="104"/>
      <c r="O81" s="105" t="n">
        <f aca="false">IF(L81&lt;&gt;"",O80+L81/24,O80+I81/24)</f>
        <v>45513.6458333334</v>
      </c>
      <c r="P81" s="116"/>
      <c r="Q81" s="129" t="n">
        <f aca="false">H81</f>
        <v>4449</v>
      </c>
      <c r="R81" s="108" t="n">
        <f aca="false">I81</f>
        <v>1</v>
      </c>
      <c r="S81" s="109"/>
      <c r="T81" s="1"/>
      <c r="U81" s="124"/>
      <c r="V81" s="119"/>
      <c r="W81" s="132"/>
      <c r="X81" s="120"/>
      <c r="Y81" s="130"/>
      <c r="Z81" s="26"/>
      <c r="AA81" s="26"/>
      <c r="AB81" s="26"/>
      <c r="AC81" s="26"/>
      <c r="AD81" s="26"/>
      <c r="AE81" s="139"/>
      <c r="AF81" s="1"/>
      <c r="AG81" s="1"/>
      <c r="AI81" s="120"/>
    </row>
    <row r="82" customFormat="false" ht="15" hidden="false" customHeight="true" outlineLevel="0" collapsed="false">
      <c r="A82" s="133" t="n">
        <f aca="false">A81+1</f>
        <v>63</v>
      </c>
      <c r="B82" s="135" t="s">
        <v>67</v>
      </c>
      <c r="C82" s="111" t="s">
        <v>152</v>
      </c>
      <c r="D82" s="111"/>
      <c r="E82" s="112" t="n">
        <v>114</v>
      </c>
      <c r="F82" s="113"/>
      <c r="G82" s="114"/>
      <c r="H82" s="113" t="n">
        <f aca="false">H81</f>
        <v>4449</v>
      </c>
      <c r="I82" s="100" t="n">
        <v>10.5</v>
      </c>
      <c r="J82" s="101" t="n">
        <f aca="false">IF(I82&lt;&gt;"",J81+I82/24,"")</f>
        <v>45512.5</v>
      </c>
      <c r="K82" s="102"/>
      <c r="L82" s="103"/>
      <c r="M82" s="122"/>
      <c r="N82" s="104"/>
      <c r="O82" s="105" t="n">
        <f aca="false">IF(L82&lt;&gt;"",O81+L82/24,O81+I82/24)</f>
        <v>45514.0833333334</v>
      </c>
      <c r="P82" s="116"/>
      <c r="Q82" s="129" t="n">
        <f aca="false">H82</f>
        <v>4449</v>
      </c>
      <c r="R82" s="108" t="n">
        <f aca="false">I82</f>
        <v>10.5</v>
      </c>
      <c r="S82" s="109"/>
      <c r="T82" s="1"/>
      <c r="U82" s="124"/>
      <c r="V82" s="119"/>
      <c r="W82" s="132"/>
      <c r="X82" s="120"/>
      <c r="Y82" s="130"/>
      <c r="Z82" s="26"/>
      <c r="AA82" s="26"/>
      <c r="AB82" s="26"/>
      <c r="AC82" s="26"/>
      <c r="AD82" s="26"/>
      <c r="AE82" s="139"/>
      <c r="AF82" s="1"/>
      <c r="AG82" s="1"/>
      <c r="AI82" s="120"/>
    </row>
    <row r="83" customFormat="false" ht="15" hidden="false" customHeight="true" outlineLevel="0" collapsed="false">
      <c r="A83" s="133" t="n">
        <f aca="false">A82+1</f>
        <v>64</v>
      </c>
      <c r="B83" s="135" t="s">
        <v>67</v>
      </c>
      <c r="C83" s="136" t="s">
        <v>153</v>
      </c>
      <c r="D83" s="136"/>
      <c r="E83" s="112" t="n">
        <v>114</v>
      </c>
      <c r="F83" s="113" t="n">
        <f aca="false">G79</f>
        <v>0</v>
      </c>
      <c r="G83" s="114" t="n">
        <f aca="false">F79</f>
        <v>4449</v>
      </c>
      <c r="H83" s="113" t="n">
        <f aca="false">H82</f>
        <v>4449</v>
      </c>
      <c r="I83" s="100" t="n">
        <v>13</v>
      </c>
      <c r="J83" s="101" t="n">
        <f aca="false">IF(I83&lt;&gt;"",J82+I83/24,"")</f>
        <v>45513.0416666667</v>
      </c>
      <c r="K83" s="102"/>
      <c r="L83" s="103"/>
      <c r="M83" s="122"/>
      <c r="N83" s="104" t="str">
        <f aca="false">IF(L83="","",L83-I83)</f>
        <v/>
      </c>
      <c r="O83" s="105" t="n">
        <f aca="false">IF(L83&lt;&gt;"",O82+L83/24,O82+I83/24)</f>
        <v>45514.625</v>
      </c>
      <c r="P83" s="106"/>
      <c r="Q83" s="129" t="n">
        <f aca="false">H83</f>
        <v>4449</v>
      </c>
      <c r="R83" s="108" t="n">
        <f aca="false">I83</f>
        <v>13</v>
      </c>
      <c r="S83" s="109"/>
      <c r="T83" s="1"/>
      <c r="U83" s="124" t="n">
        <v>30</v>
      </c>
      <c r="V83" s="119" t="n">
        <f aca="false">(G53-F53)/I53</f>
        <v>0</v>
      </c>
      <c r="W83" s="125" t="e">
        <f aca="false">(K53-#REF!)/(L53-M53)</f>
        <v>#REF!</v>
      </c>
      <c r="X83" s="120"/>
      <c r="Y83" s="121" t="n">
        <f aca="false">(G53-F53)/25</f>
        <v>0</v>
      </c>
      <c r="Z83" s="140" t="n">
        <f aca="false">Y83*0.15*$E$15</f>
        <v>0</v>
      </c>
      <c r="AA83" s="118" t="n">
        <f aca="false">Y83*5/60</f>
        <v>0</v>
      </c>
      <c r="AB83" s="118" t="n">
        <f aca="false">(G53-F53)*0.2/8*8/60</f>
        <v>0</v>
      </c>
      <c r="AC83" s="118" t="n">
        <f aca="false">Y83*3*25.5/1000</f>
        <v>0</v>
      </c>
      <c r="AD83" s="118" t="n">
        <f aca="false">(220.7^2-127^2)*3.14/4/10^6*200/40/60/60*1000*Y83</f>
        <v>0</v>
      </c>
      <c r="AE83" s="118" t="n">
        <f aca="false">(G53-F53)/AE75</f>
        <v>0</v>
      </c>
      <c r="AF83" s="1"/>
      <c r="AG83" s="124" t="n">
        <f aca="false">SUM(Z83:AE83)</f>
        <v>0</v>
      </c>
    </row>
    <row r="84" customFormat="false" ht="12.75" hidden="false" customHeight="true" outlineLevel="0" collapsed="false">
      <c r="A84" s="133" t="n">
        <f aca="false">A83+1</f>
        <v>65</v>
      </c>
      <c r="B84" s="135" t="s">
        <v>69</v>
      </c>
      <c r="C84" s="111" t="s">
        <v>154</v>
      </c>
      <c r="D84" s="111"/>
      <c r="E84" s="112" t="n">
        <v>114</v>
      </c>
      <c r="F84" s="113"/>
      <c r="G84" s="114"/>
      <c r="H84" s="113" t="n">
        <f aca="false">H83</f>
        <v>4449</v>
      </c>
      <c r="I84" s="100" t="n">
        <v>4</v>
      </c>
      <c r="J84" s="101" t="n">
        <f aca="false">IF(I84&lt;&gt;"",J83+I84/24,"")</f>
        <v>45513.2083333333</v>
      </c>
      <c r="K84" s="102"/>
      <c r="L84" s="103"/>
      <c r="M84" s="122"/>
      <c r="N84" s="104" t="str">
        <f aca="false">IF(L84="","",L84-I84)</f>
        <v/>
      </c>
      <c r="O84" s="105" t="n">
        <f aca="false">IF(L84&lt;&gt;"",O83+L84/24,O83+I84/24)</f>
        <v>45514.7916666667</v>
      </c>
      <c r="P84" s="128"/>
      <c r="Q84" s="129" t="n">
        <f aca="false">H84</f>
        <v>4449</v>
      </c>
      <c r="R84" s="108" t="n">
        <f aca="false">I84</f>
        <v>4</v>
      </c>
      <c r="S84" s="109"/>
      <c r="T84" s="1"/>
      <c r="U84" s="124"/>
      <c r="V84" s="119"/>
      <c r="W84" s="132"/>
      <c r="X84" s="120"/>
      <c r="Z84" s="1"/>
      <c r="AA84" s="1"/>
      <c r="AB84" s="1"/>
      <c r="AC84" s="1"/>
      <c r="AD84" s="1"/>
      <c r="AE84" s="143" t="n">
        <v>55</v>
      </c>
      <c r="AF84" s="1"/>
      <c r="AG84" s="1"/>
    </row>
    <row r="85" customFormat="false" ht="15" hidden="false" customHeight="true" outlineLevel="0" collapsed="false">
      <c r="A85" s="133" t="n">
        <f aca="false">A84+1</f>
        <v>66</v>
      </c>
      <c r="B85" s="135" t="s">
        <v>69</v>
      </c>
      <c r="C85" s="111" t="s">
        <v>155</v>
      </c>
      <c r="D85" s="111"/>
      <c r="E85" s="112" t="n">
        <v>114</v>
      </c>
      <c r="F85" s="113"/>
      <c r="G85" s="114"/>
      <c r="H85" s="113" t="n">
        <f aca="false">H84</f>
        <v>4449</v>
      </c>
      <c r="I85" s="100" t="n">
        <v>6</v>
      </c>
      <c r="J85" s="101" t="n">
        <f aca="false">IF(I85&lt;&gt;"",J84+I85/24,"")</f>
        <v>45513.4583333333</v>
      </c>
      <c r="K85" s="102"/>
      <c r="L85" s="103"/>
      <c r="M85" s="122"/>
      <c r="N85" s="104" t="str">
        <f aca="false">IF(L85="","",L85-I85)</f>
        <v/>
      </c>
      <c r="O85" s="105" t="n">
        <f aca="false">IF(L85&lt;&gt;"",O84+L85/24,O84+I85/24)</f>
        <v>45515.0416666667</v>
      </c>
      <c r="P85" s="128"/>
      <c r="Q85" s="129" t="n">
        <f aca="false">H85</f>
        <v>4449</v>
      </c>
      <c r="R85" s="127" t="n">
        <f aca="false">I85</f>
        <v>6</v>
      </c>
      <c r="S85" s="109"/>
      <c r="T85" s="1"/>
      <c r="U85" s="124" t="n">
        <v>27</v>
      </c>
      <c r="V85" s="119" t="n">
        <f aca="false">(G55-F55)/I55</f>
        <v>0</v>
      </c>
      <c r="W85" s="125" t="n">
        <f aca="false">(K55-K54)/(L55-M55)</f>
        <v>0</v>
      </c>
      <c r="X85" s="120"/>
      <c r="Y85" s="121" t="n">
        <f aca="false">(G55-F55)/25</f>
        <v>0</v>
      </c>
      <c r="Z85" s="140" t="n">
        <f aca="false">Y85*0.15*$E$15</f>
        <v>0</v>
      </c>
      <c r="AA85" s="118" t="n">
        <f aca="false">Y85*5/60</f>
        <v>0</v>
      </c>
      <c r="AB85" s="118" t="n">
        <f aca="false">(G55-F55)*0.6/8*5/60</f>
        <v>0</v>
      </c>
      <c r="AC85" s="118" t="n">
        <f aca="false">Y85*3*25.5/1000</f>
        <v>0</v>
      </c>
      <c r="AD85" s="118" t="n">
        <f aca="false">(220.7^2-127^2)*3.14/4/10^6*200/40/60/60*1000*Y85</f>
        <v>0</v>
      </c>
      <c r="AE85" s="118" t="n">
        <f aca="false">(G55-F55)/AE84</f>
        <v>0</v>
      </c>
      <c r="AF85" s="1"/>
      <c r="AG85" s="124" t="n">
        <f aca="false">SUM(Z85:AE85)</f>
        <v>0</v>
      </c>
    </row>
    <row r="86" customFormat="false" ht="15.75" hidden="false" customHeight="true" outlineLevel="0" collapsed="false">
      <c r="A86" s="133" t="n">
        <f aca="false">A85+1</f>
        <v>67</v>
      </c>
      <c r="B86" s="135" t="s">
        <v>76</v>
      </c>
      <c r="C86" s="111" t="s">
        <v>156</v>
      </c>
      <c r="D86" s="111"/>
      <c r="E86" s="112" t="n">
        <v>114</v>
      </c>
      <c r="F86" s="113"/>
      <c r="G86" s="114"/>
      <c r="H86" s="113" t="n">
        <f aca="false">H85</f>
        <v>4449</v>
      </c>
      <c r="I86" s="100" t="n">
        <v>25</v>
      </c>
      <c r="J86" s="101" t="n">
        <f aca="false">IF(I86&lt;&gt;"",J85+I86/24,"")</f>
        <v>45514.5</v>
      </c>
      <c r="K86" s="102"/>
      <c r="L86" s="103"/>
      <c r="M86" s="122"/>
      <c r="N86" s="104" t="str">
        <f aca="false">IF(L86="","",L86-I86)</f>
        <v/>
      </c>
      <c r="O86" s="105" t="n">
        <f aca="false">IF(L86&lt;&gt;"",O85+L86/24,O85+I86/24)</f>
        <v>45516.0833333333</v>
      </c>
      <c r="P86" s="106"/>
      <c r="Q86" s="129" t="n">
        <f aca="false">H86</f>
        <v>4449</v>
      </c>
      <c r="R86" s="108" t="n">
        <f aca="false">I86</f>
        <v>25</v>
      </c>
      <c r="S86" s="109"/>
      <c r="T86" s="1"/>
      <c r="U86" s="124"/>
      <c r="V86" s="119"/>
      <c r="W86" s="132"/>
      <c r="X86" s="120"/>
      <c r="Z86" s="1"/>
      <c r="AA86" s="1"/>
      <c r="AB86" s="1"/>
      <c r="AC86" s="1"/>
      <c r="AD86" s="1"/>
      <c r="AE86" s="143" t="n">
        <v>45</v>
      </c>
      <c r="AF86" s="1"/>
      <c r="AG86" s="1"/>
    </row>
    <row r="87" customFormat="false" ht="15" hidden="false" customHeight="true" outlineLevel="0" collapsed="false">
      <c r="A87" s="133" t="n">
        <f aca="false">A86+1</f>
        <v>68</v>
      </c>
      <c r="B87" s="135" t="s">
        <v>157</v>
      </c>
      <c r="C87" s="111" t="s">
        <v>158</v>
      </c>
      <c r="D87" s="111"/>
      <c r="E87" s="112" t="n">
        <v>114</v>
      </c>
      <c r="F87" s="113"/>
      <c r="G87" s="114"/>
      <c r="H87" s="113" t="n">
        <f aca="false">H86</f>
        <v>4449</v>
      </c>
      <c r="I87" s="100" t="n">
        <v>4</v>
      </c>
      <c r="J87" s="101" t="n">
        <f aca="false">IF(I87&lt;&gt;"",J86+I87/24,"")</f>
        <v>45514.6666666667</v>
      </c>
      <c r="K87" s="102"/>
      <c r="L87" s="103"/>
      <c r="M87" s="122"/>
      <c r="N87" s="104" t="str">
        <f aca="false">IF(L87="","",L87-I87)</f>
        <v/>
      </c>
      <c r="O87" s="105" t="n">
        <f aca="false">IF(L87&lt;&gt;"",O86+L87/24,O86+I87/24)</f>
        <v>45516.25</v>
      </c>
      <c r="P87" s="128"/>
      <c r="Q87" s="129" t="n">
        <f aca="false">H87</f>
        <v>4449</v>
      </c>
      <c r="R87" s="108" t="n">
        <f aca="false">I87</f>
        <v>4</v>
      </c>
      <c r="S87" s="109"/>
      <c r="T87" s="1"/>
      <c r="U87" s="124" t="n">
        <v>22</v>
      </c>
      <c r="V87" s="119" t="n">
        <f aca="false">(G57-F57)/I57</f>
        <v>225</v>
      </c>
      <c r="W87" s="125" t="n">
        <f aca="false">(K57-K56)/(L57-M57)</f>
        <v>0</v>
      </c>
      <c r="X87" s="120"/>
      <c r="Y87" s="121" t="n">
        <f aca="false">(G57-F57)/25</f>
        <v>72</v>
      </c>
      <c r="Z87" s="140" t="n">
        <f aca="false">Y87*0.15*$E$15</f>
        <v>10.8</v>
      </c>
      <c r="AA87" s="118" t="n">
        <f aca="false">Y87*5/60</f>
        <v>6</v>
      </c>
      <c r="AB87" s="118" t="n">
        <f aca="false">(G57-F57)*0.2/8*5/60</f>
        <v>3.75</v>
      </c>
      <c r="AC87" s="118" t="n">
        <f aca="false">Y87*3*25.5/1000</f>
        <v>5.508</v>
      </c>
      <c r="AD87" s="118" t="n">
        <f aca="false">(220.7^2-127^2)*3.14/4/10^6*200/40/60/60*1000*Y87</f>
        <v>2.557489965</v>
      </c>
      <c r="AE87" s="118" t="n">
        <f aca="false">(G57-F57)/AE86</f>
        <v>40</v>
      </c>
      <c r="AF87" s="1"/>
      <c r="AG87" s="124" t="n">
        <f aca="false">SUM(Z87:AE87)</f>
        <v>68.615489965</v>
      </c>
    </row>
    <row r="88" customFormat="false" ht="15.75" hidden="false" customHeight="true" outlineLevel="0" collapsed="false">
      <c r="A88" s="133" t="n">
        <f aca="false">A87+1</f>
        <v>69</v>
      </c>
      <c r="B88" s="135" t="s">
        <v>159</v>
      </c>
      <c r="C88" s="111" t="s">
        <v>160</v>
      </c>
      <c r="D88" s="111"/>
      <c r="E88" s="112" t="n">
        <v>178</v>
      </c>
      <c r="F88" s="113"/>
      <c r="G88" s="114"/>
      <c r="H88" s="113" t="n">
        <f aca="false">H87</f>
        <v>4449</v>
      </c>
      <c r="I88" s="100" t="n">
        <v>3</v>
      </c>
      <c r="J88" s="101" t="n">
        <f aca="false">IF(I88&lt;&gt;"",J87+I88/24,"")</f>
        <v>45514.7916666667</v>
      </c>
      <c r="K88" s="102"/>
      <c r="L88" s="103"/>
      <c r="M88" s="122"/>
      <c r="N88" s="104" t="str">
        <f aca="false">IF(L88="","",L88-I88)</f>
        <v/>
      </c>
      <c r="O88" s="105" t="n">
        <f aca="false">IF(L88&lt;&gt;"",O87+L88/24,O87+I88/24)</f>
        <v>45516.375</v>
      </c>
      <c r="P88" s="106"/>
      <c r="Q88" s="129" t="n">
        <f aca="false">H88</f>
        <v>4449</v>
      </c>
      <c r="R88" s="108" t="n">
        <f aca="false">I88</f>
        <v>3</v>
      </c>
      <c r="S88" s="109"/>
      <c r="T88" s="1"/>
      <c r="U88" s="124"/>
      <c r="V88" s="119"/>
      <c r="W88" s="132"/>
      <c r="X88" s="120"/>
      <c r="Y88" s="156" t="s">
        <v>75</v>
      </c>
      <c r="Z88" s="1"/>
      <c r="AA88" s="1"/>
      <c r="AB88" s="1"/>
      <c r="AC88" s="1"/>
      <c r="AD88" s="1"/>
      <c r="AE88" s="1"/>
      <c r="AF88" s="1"/>
      <c r="AG88" s="1"/>
    </row>
    <row r="89" customFormat="false" ht="15.75" hidden="false" customHeight="true" outlineLevel="0" collapsed="false">
      <c r="A89" s="157" t="n">
        <f aca="false">A88+1</f>
        <v>70</v>
      </c>
      <c r="B89" s="158" t="s">
        <v>161</v>
      </c>
      <c r="C89" s="159" t="s">
        <v>162</v>
      </c>
      <c r="D89" s="159"/>
      <c r="E89" s="160"/>
      <c r="F89" s="160"/>
      <c r="G89" s="160"/>
      <c r="H89" s="161" t="n">
        <f aca="false">H88</f>
        <v>4449</v>
      </c>
      <c r="I89" s="162" t="n">
        <f aca="false">SUM(I20:I88)*0.05</f>
        <v>30.7</v>
      </c>
      <c r="J89" s="163" t="n">
        <f aca="false">IF(I89&lt;&gt;"",J88+I89/24,"")</f>
        <v>45516.0708333333</v>
      </c>
      <c r="K89" s="161"/>
      <c r="L89" s="164" t="n">
        <v>0</v>
      </c>
      <c r="M89" s="160"/>
      <c r="N89" s="165" t="n">
        <f aca="false">IF(L89="","",L89-I89)</f>
        <v>-30.7</v>
      </c>
      <c r="O89" s="166" t="n">
        <f aca="false">IF(L89&lt;&gt;"",O88+L89/24,O88+I89/24)</f>
        <v>45516.375</v>
      </c>
      <c r="P89" s="160" t="s">
        <v>163</v>
      </c>
      <c r="Q89" s="160"/>
      <c r="R89" s="167" t="n">
        <f aca="false">I89</f>
        <v>30.7</v>
      </c>
      <c r="S89" s="168"/>
      <c r="T89" s="1"/>
      <c r="U89" s="124"/>
      <c r="V89" s="119"/>
      <c r="W89" s="132"/>
      <c r="X89" s="120"/>
      <c r="Z89" s="1"/>
      <c r="AA89" s="1"/>
      <c r="AB89" s="1"/>
      <c r="AC89" s="1"/>
      <c r="AD89" s="1"/>
      <c r="AE89" s="1"/>
      <c r="AF89" s="1"/>
      <c r="AG89" s="1"/>
    </row>
    <row r="90" customFormat="false" ht="15.75" hidden="false" customHeight="true" outlineLevel="0" collapsed="false">
      <c r="A90" s="169"/>
      <c r="B90" s="170"/>
      <c r="C90" s="171" t="s">
        <v>164</v>
      </c>
      <c r="D90" s="171"/>
      <c r="E90" s="172"/>
      <c r="F90" s="172"/>
      <c r="G90" s="172"/>
      <c r="H90" s="172"/>
      <c r="I90" s="173" t="n">
        <f aca="false">SUM(I20:I89)/24</f>
        <v>26.8625</v>
      </c>
      <c r="J90" s="172"/>
      <c r="K90" s="172"/>
      <c r="L90" s="174" t="n">
        <f aca="false">SUM(L20:L88)/24</f>
        <v>21.7916666666667</v>
      </c>
      <c r="M90" s="174" t="n">
        <f aca="false">SUM(M20:M88)/24</f>
        <v>2.76041666666667</v>
      </c>
      <c r="N90" s="174" t="n">
        <f aca="false">SUM(N20:N88)/24</f>
        <v>1.58333333333333</v>
      </c>
      <c r="O90" s="175" t="n">
        <f aca="false">O89</f>
        <v>45516.375</v>
      </c>
      <c r="P90" s="172"/>
      <c r="Q90" s="172"/>
      <c r="R90" s="174" t="n">
        <f aca="false">SUM(R20:R89)/24</f>
        <v>26.8625</v>
      </c>
      <c r="S90" s="176"/>
      <c r="T90" s="1"/>
      <c r="U90" s="124"/>
      <c r="V90" s="119"/>
      <c r="W90" s="132"/>
      <c r="X90" s="120"/>
      <c r="Z90" s="1"/>
      <c r="AA90" s="1"/>
      <c r="AB90" s="1"/>
      <c r="AC90" s="1"/>
      <c r="AD90" s="1"/>
      <c r="AE90" s="1"/>
      <c r="AF90" s="1"/>
      <c r="AG90" s="1"/>
    </row>
    <row r="91" customFormat="false" ht="24.75" hidden="false" customHeight="true" outlineLevel="0" collapsed="false">
      <c r="I91" s="1" t="n">
        <f aca="false">(H88-149)*5.9/1000+1.5</f>
        <v>26.87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24"/>
      <c r="V91" s="119"/>
      <c r="W91" s="132"/>
      <c r="X91" s="120"/>
      <c r="Y91" s="2" t="s">
        <v>75</v>
      </c>
      <c r="Z91" s="1"/>
      <c r="AA91" s="1"/>
      <c r="AB91" s="1"/>
      <c r="AC91" s="1"/>
      <c r="AD91" s="1"/>
      <c r="AE91" s="1"/>
      <c r="AF91" s="1"/>
      <c r="AG91" s="1"/>
    </row>
    <row r="92" customFormat="false" ht="102" hidden="false" customHeight="true" outlineLevel="0" collapsed="false">
      <c r="F92" s="177"/>
      <c r="G92" s="177"/>
      <c r="H92" s="177"/>
      <c r="T92" s="1"/>
      <c r="U92" s="118" t="n">
        <f aca="false">60/(3*2)*12.5</f>
        <v>125</v>
      </c>
      <c r="V92" s="119" t="n">
        <f aca="false">(G65-F69)/I69</f>
        <v>0</v>
      </c>
      <c r="W92" s="132"/>
      <c r="X92" s="120"/>
      <c r="Y92" s="121" t="n">
        <f aca="false">G69/U92</f>
        <v>0</v>
      </c>
      <c r="Z92" s="1"/>
      <c r="AA92" s="1"/>
      <c r="AB92" s="1"/>
      <c r="AC92" s="1"/>
      <c r="AD92" s="1"/>
      <c r="AE92" s="1"/>
      <c r="AF92" s="1"/>
      <c r="AG92" s="1"/>
    </row>
    <row r="93" customFormat="false" ht="25.5" hidden="false" customHeight="true" outlineLevel="0" collapsed="false">
      <c r="F93" s="177"/>
      <c r="G93" s="177"/>
      <c r="H93" s="177"/>
      <c r="I93" s="120"/>
      <c r="J93" s="120"/>
      <c r="T93" s="1"/>
      <c r="U93" s="124"/>
      <c r="V93" s="119"/>
      <c r="W93" s="132"/>
      <c r="X93" s="120"/>
      <c r="Z93" s="1"/>
      <c r="AA93" s="1"/>
      <c r="AB93" s="1"/>
      <c r="AC93" s="1"/>
      <c r="AD93" s="1"/>
      <c r="AE93" s="1"/>
      <c r="AF93" s="1"/>
      <c r="AG93" s="1"/>
    </row>
    <row r="94" customFormat="false" ht="12.75" hidden="false" customHeight="false" outlineLevel="0" collapsed="false">
      <c r="F94" s="177"/>
      <c r="G94" s="177"/>
      <c r="H94" s="177"/>
      <c r="I94" s="120"/>
      <c r="J94" s="120"/>
      <c r="T94" s="1"/>
      <c r="U94" s="124"/>
      <c r="V94" s="119"/>
      <c r="W94" s="132"/>
      <c r="X94" s="120"/>
      <c r="Y94" s="2" t="s">
        <v>75</v>
      </c>
      <c r="Z94" s="1"/>
      <c r="AA94" s="1"/>
      <c r="AB94" s="1"/>
      <c r="AC94" s="1"/>
      <c r="AD94" s="1"/>
      <c r="AE94" s="1"/>
      <c r="AF94" s="1"/>
      <c r="AG94" s="1"/>
    </row>
    <row r="95" customFormat="false" ht="41.25" hidden="false" customHeight="true" outlineLevel="0" collapsed="false">
      <c r="F95" s="177"/>
      <c r="G95" s="177"/>
      <c r="H95" s="177"/>
      <c r="T95" s="1"/>
      <c r="U95" s="118" t="n">
        <f aca="false">60/(3*2)*12.5</f>
        <v>125</v>
      </c>
      <c r="V95" s="119" t="n">
        <f aca="false">(G72-F72)/I72</f>
        <v>0</v>
      </c>
      <c r="W95" s="132"/>
      <c r="X95" s="120"/>
      <c r="Y95" s="121" t="n">
        <f aca="false">G72/U95</f>
        <v>0</v>
      </c>
      <c r="Z95" s="1"/>
      <c r="AA95" s="1"/>
      <c r="AB95" s="1"/>
      <c r="AC95" s="1"/>
      <c r="AD95" s="1"/>
      <c r="AE95" s="1"/>
      <c r="AF95" s="1"/>
      <c r="AG95" s="1"/>
    </row>
    <row r="96" customFormat="false" ht="26.25" hidden="false" customHeight="true" outlineLevel="0" collapsed="false">
      <c r="T96" s="1"/>
      <c r="U96" s="124"/>
      <c r="V96" s="119"/>
      <c r="W96" s="132"/>
      <c r="X96" s="120"/>
      <c r="Z96" s="1"/>
      <c r="AA96" s="1"/>
      <c r="AB96" s="1"/>
      <c r="AC96" s="1"/>
      <c r="AD96" s="1"/>
      <c r="AE96" s="1"/>
      <c r="AF96" s="1"/>
      <c r="AG96" s="1"/>
    </row>
    <row r="97" customFormat="false" ht="12.75" hidden="false" customHeight="false" outlineLevel="0" collapsed="false">
      <c r="T97" s="1"/>
      <c r="U97" s="124"/>
      <c r="V97" s="119"/>
      <c r="W97" s="132"/>
      <c r="X97" s="120"/>
      <c r="Z97" s="1"/>
      <c r="AA97" s="1"/>
      <c r="AB97" s="1"/>
      <c r="AC97" s="1"/>
      <c r="AD97" s="1"/>
      <c r="AE97" s="1"/>
      <c r="AF97" s="1"/>
      <c r="AG97" s="1"/>
    </row>
    <row r="98" customFormat="false" ht="12.75" hidden="false" customHeight="false" outlineLevel="0" collapsed="false">
      <c r="T98" s="1"/>
      <c r="U98" s="124"/>
      <c r="V98" s="119"/>
      <c r="W98" s="132"/>
      <c r="X98" s="120"/>
      <c r="Y98" s="2" t="s">
        <v>75</v>
      </c>
      <c r="Z98" s="1"/>
      <c r="AA98" s="1"/>
      <c r="AB98" s="1"/>
      <c r="AC98" s="1"/>
      <c r="AD98" s="1"/>
      <c r="AE98" s="1"/>
      <c r="AF98" s="1"/>
      <c r="AG98" s="1"/>
    </row>
    <row r="99" customFormat="false" ht="26.25" hidden="false" customHeight="true" outlineLevel="0" collapsed="false">
      <c r="K99" s="178"/>
      <c r="T99" s="1"/>
      <c r="U99" s="118" t="n">
        <f aca="false">60/(3.5)*12.5</f>
        <v>214.285714285714</v>
      </c>
      <c r="V99" s="119" t="n">
        <f aca="false">(G74-F74)/I74</f>
        <v>10.9428571428571</v>
      </c>
      <c r="W99" s="132"/>
      <c r="X99" s="120"/>
      <c r="Y99" s="121" t="n">
        <f aca="false">(G74-F74)/U99</f>
        <v>5.362</v>
      </c>
      <c r="Z99" s="1"/>
      <c r="AA99" s="1"/>
      <c r="AB99" s="1"/>
      <c r="AC99" s="1"/>
      <c r="AD99" s="1"/>
      <c r="AE99" s="1"/>
      <c r="AF99" s="1"/>
      <c r="AG99" s="1"/>
    </row>
    <row r="100" customFormat="false" ht="12.75" hidden="false" customHeight="false" outlineLevel="0" collapsed="false">
      <c r="T100" s="1"/>
      <c r="U100" s="124"/>
      <c r="V100" s="119"/>
      <c r="W100" s="132"/>
      <c r="X100" s="120"/>
      <c r="Z100" s="1"/>
      <c r="AA100" s="1"/>
      <c r="AB100" s="1"/>
      <c r="AC100" s="1"/>
      <c r="AD100" s="1"/>
      <c r="AE100" s="1"/>
      <c r="AF100" s="1"/>
      <c r="AG100" s="1"/>
    </row>
    <row r="101" customFormat="false" ht="12.75" hidden="false" customHeight="false" outlineLevel="0" collapsed="false">
      <c r="T101" s="1"/>
      <c r="U101" s="124"/>
      <c r="V101" s="119"/>
      <c r="W101" s="132"/>
      <c r="X101" s="120"/>
      <c r="Z101" s="1"/>
      <c r="AA101" s="1"/>
      <c r="AB101" s="1"/>
      <c r="AC101" s="1"/>
      <c r="AD101" s="1"/>
      <c r="AE101" s="1"/>
      <c r="AF101" s="1"/>
      <c r="AG101" s="1"/>
    </row>
    <row r="102" customFormat="false" ht="15" hidden="false" customHeight="true" outlineLevel="0" collapsed="false">
      <c r="T102" s="1"/>
      <c r="U102" s="124"/>
      <c r="V102" s="119"/>
      <c r="W102" s="132"/>
      <c r="X102" s="120"/>
      <c r="Z102" s="1"/>
      <c r="AA102" s="1"/>
      <c r="AB102" s="1"/>
      <c r="AC102" s="1"/>
      <c r="AD102" s="1"/>
      <c r="AE102" s="26" t="s">
        <v>80</v>
      </c>
      <c r="AF102" s="1"/>
      <c r="AG102" s="1"/>
    </row>
    <row r="103" customFormat="false" ht="12.75" hidden="false" customHeight="false" outlineLevel="0" collapsed="false">
      <c r="T103" s="1"/>
      <c r="U103" s="124"/>
      <c r="V103" s="119"/>
      <c r="W103" s="132"/>
      <c r="X103" s="120"/>
      <c r="Y103" s="2" t="s">
        <v>85</v>
      </c>
      <c r="Z103" s="1" t="s">
        <v>86</v>
      </c>
      <c r="AA103" s="1" t="s">
        <v>87</v>
      </c>
      <c r="AB103" s="1" t="s">
        <v>88</v>
      </c>
      <c r="AC103" s="1" t="s">
        <v>89</v>
      </c>
      <c r="AD103" s="1" t="s">
        <v>90</v>
      </c>
      <c r="AE103" s="26" t="n">
        <v>20</v>
      </c>
      <c r="AF103" s="1"/>
      <c r="AG103" s="1"/>
    </row>
    <row r="104" customFormat="false" ht="13.5" hidden="false" customHeight="false" outlineLevel="0" collapsed="false">
      <c r="T104" s="1"/>
      <c r="U104" s="124" t="n">
        <v>14</v>
      </c>
      <c r="V104" s="119" t="n">
        <f aca="false">(G85-F85)/I85</f>
        <v>0</v>
      </c>
      <c r="W104" s="125" t="e">
        <f aca="false">(K85-K84)/(L85-M85)</f>
        <v>#DIV/0!</v>
      </c>
      <c r="X104" s="120"/>
      <c r="Y104" s="120" t="n">
        <f aca="false">(G85-F85)/25</f>
        <v>0</v>
      </c>
      <c r="Z104" s="140" t="n">
        <f aca="false">Y104*0.15*$E$15</f>
        <v>0</v>
      </c>
      <c r="AA104" s="124" t="n">
        <f aca="false">Y104*2*5/60</f>
        <v>0</v>
      </c>
      <c r="AB104" s="124" t="n">
        <f aca="false">(G85-F85)*0.4/4*7/60</f>
        <v>0</v>
      </c>
      <c r="AC104" s="124" t="n">
        <f aca="false">Y104*3*2*25/1000</f>
        <v>0</v>
      </c>
      <c r="AD104" s="124" t="n">
        <f aca="false">(155.6^2*1.15-89^2)*3.14/4*10^(-6)*500/14/60*1000*Y104/60</f>
        <v>0</v>
      </c>
      <c r="AE104" s="124" t="n">
        <f aca="false">(G85-F85)/AE103</f>
        <v>0</v>
      </c>
      <c r="AF104" s="1"/>
      <c r="AG104" s="124" t="n">
        <f aca="false">SUM(Z104:AE104)</f>
        <v>0</v>
      </c>
    </row>
    <row r="105" customFormat="false" ht="12.75" hidden="false" customHeight="false" outlineLevel="0" collapsed="false">
      <c r="T105" s="1"/>
      <c r="U105" s="124"/>
      <c r="V105" s="119"/>
      <c r="W105" s="132"/>
      <c r="X105" s="120"/>
      <c r="Z105" s="1"/>
      <c r="AA105" s="1"/>
      <c r="AB105" s="1"/>
      <c r="AC105" s="1"/>
      <c r="AD105" s="1"/>
      <c r="AE105" s="1"/>
      <c r="AF105" s="1"/>
      <c r="AG105" s="1"/>
    </row>
    <row r="106" customFormat="false" ht="25.5" hidden="false" customHeight="true" outlineLevel="0" collapsed="false">
      <c r="T106" s="1"/>
      <c r="U106" s="124" t="n">
        <v>200</v>
      </c>
      <c r="V106" s="119" t="n">
        <f aca="false">(G87-F87)/I87</f>
        <v>0</v>
      </c>
      <c r="W106" s="125" t="e">
        <f aca="false">(K87-K75)/(L87-M87)</f>
        <v>#DIV/0!</v>
      </c>
      <c r="X106" s="120"/>
      <c r="Z106" s="1"/>
      <c r="AA106" s="1"/>
      <c r="AB106" s="1"/>
      <c r="AC106" s="1"/>
      <c r="AD106" s="1"/>
      <c r="AE106" s="1"/>
      <c r="AF106" s="1"/>
      <c r="AG106" s="1"/>
    </row>
    <row r="107" customFormat="false" ht="27.75" hidden="false" customHeight="true" outlineLevel="0" collapsed="false">
      <c r="T107" s="1"/>
      <c r="U107" s="124"/>
      <c r="V107" s="119"/>
      <c r="W107" s="132"/>
      <c r="X107" s="120"/>
      <c r="Z107" s="1"/>
      <c r="AA107" s="1"/>
      <c r="AB107" s="1"/>
      <c r="AC107" s="1"/>
      <c r="AD107" s="1"/>
      <c r="AE107" s="1"/>
      <c r="AF107" s="1"/>
      <c r="AG107" s="1"/>
    </row>
    <row r="108" customFormat="false" ht="41.25" hidden="false" customHeight="true" outlineLevel="0" collapsed="false">
      <c r="T108" s="1"/>
      <c r="U108" s="124"/>
      <c r="V108" s="119"/>
      <c r="W108" s="132"/>
      <c r="X108" s="120"/>
      <c r="Z108" s="1"/>
      <c r="AA108" s="1"/>
      <c r="AB108" s="1"/>
      <c r="AC108" s="1"/>
      <c r="AD108" s="1"/>
      <c r="AE108" s="1"/>
      <c r="AF108" s="1"/>
      <c r="AG108" s="1"/>
    </row>
    <row r="109" customFormat="false" ht="27" hidden="false" customHeight="true" outlineLevel="0" collapsed="false">
      <c r="T109" s="1"/>
      <c r="U109" s="124" t="s">
        <v>75</v>
      </c>
      <c r="V109" s="119"/>
      <c r="W109" s="132"/>
      <c r="X109" s="120"/>
      <c r="Y109" s="118" t="s">
        <v>75</v>
      </c>
      <c r="Z109" s="1"/>
      <c r="AA109" s="1"/>
      <c r="AB109" s="1"/>
      <c r="AC109" s="1"/>
      <c r="AD109" s="1"/>
      <c r="AE109" s="1"/>
      <c r="AF109" s="1"/>
      <c r="AG109" s="1"/>
    </row>
    <row r="110" customFormat="false" ht="12.75" hidden="false" customHeight="false" outlineLevel="0" collapsed="false">
      <c r="T110" s="1"/>
      <c r="U110" s="124" t="n">
        <v>350</v>
      </c>
      <c r="V110" s="119" t="e">
        <f aca="false">(#REF!-#REF!)/#REF!</f>
        <v>#REF!</v>
      </c>
      <c r="W110" s="125" t="e">
        <f aca="false">#REF!/(#REF!-#REF!)</f>
        <v>#REF!</v>
      </c>
      <c r="X110" s="120"/>
      <c r="Y110" s="118" t="e">
        <f aca="false">#REF!/25.5*(3+2)/60</f>
        <v>#REF!</v>
      </c>
      <c r="Z110" s="1"/>
      <c r="AA110" s="1"/>
      <c r="AB110" s="1"/>
      <c r="AC110" s="1"/>
      <c r="AD110" s="1"/>
      <c r="AE110" s="1"/>
      <c r="AF110" s="1"/>
      <c r="AG110" s="1"/>
    </row>
    <row r="111" customFormat="false" ht="13.5" hidden="false" customHeight="true" outlineLevel="0" collapsed="false">
      <c r="T111" s="1"/>
      <c r="U111" s="124"/>
      <c r="V111" s="119"/>
      <c r="W111" s="125"/>
      <c r="X111" s="120"/>
      <c r="Z111" s="1"/>
      <c r="AA111" s="1"/>
      <c r="AB111" s="1"/>
      <c r="AC111" s="1"/>
      <c r="AD111" s="1"/>
      <c r="AE111" s="1"/>
      <c r="AF111" s="1"/>
      <c r="AG111" s="1"/>
    </row>
    <row r="112" customFormat="false" ht="12.75" hidden="false" customHeight="false" outlineLevel="0" collapsed="false">
      <c r="T112" s="1"/>
      <c r="U112" s="124"/>
      <c r="V112" s="119"/>
      <c r="W112" s="125"/>
      <c r="X112" s="120"/>
      <c r="Y112" s="2" t="s">
        <v>75</v>
      </c>
      <c r="Z112" s="1"/>
      <c r="AA112" s="1"/>
      <c r="AB112" s="1"/>
      <c r="AC112" s="1"/>
      <c r="AD112" s="1"/>
      <c r="AE112" s="1"/>
      <c r="AF112" s="1"/>
      <c r="AG112" s="1"/>
    </row>
    <row r="113" customFormat="false" ht="28.5" hidden="false" customHeight="true" outlineLevel="0" collapsed="false">
      <c r="T113" s="1"/>
      <c r="U113" s="118" t="n">
        <f aca="false">60/(4)*11.3</f>
        <v>169.5</v>
      </c>
      <c r="V113" s="119" t="e">
        <f aca="false">(#REF!-#REF!)/#REF!</f>
        <v>#REF!</v>
      </c>
      <c r="W113" s="125" t="e">
        <f aca="false">#REF!/(#REF!-#REF!)</f>
        <v>#REF!</v>
      </c>
      <c r="X113" s="120"/>
      <c r="Y113" s="121" t="e">
        <f aca="false">(#REF!-#REF!)/U113</f>
        <v>#REF!</v>
      </c>
      <c r="Z113" s="1"/>
      <c r="AA113" s="1"/>
      <c r="AB113" s="1"/>
      <c r="AC113" s="1"/>
      <c r="AD113" s="1"/>
      <c r="AE113" s="1"/>
      <c r="AF113" s="1"/>
      <c r="AG113" s="1"/>
    </row>
    <row r="114" customFormat="false" ht="33.75" hidden="false" customHeight="true" outlineLevel="0" collapsed="false">
      <c r="T114" s="1"/>
      <c r="U114" s="118" t="n">
        <f aca="false">60/(2+3)*25.5</f>
        <v>306</v>
      </c>
      <c r="V114" s="119" t="e">
        <f aca="false">(#REF!-#REF!)/#REF!</f>
        <v>#REF!</v>
      </c>
      <c r="W114" s="125" t="e">
        <f aca="false">(#REF!-#REF!)/(#REF!-#REF!)</f>
        <v>#REF!</v>
      </c>
      <c r="X114" s="120"/>
      <c r="Y114" s="130" t="e">
        <f aca="false">(#REF!-#REF!)/U114</f>
        <v>#REF!</v>
      </c>
      <c r="Z114" s="1"/>
      <c r="AA114" s="1"/>
      <c r="AB114" s="1"/>
      <c r="AC114" s="1"/>
      <c r="AD114" s="1"/>
      <c r="AE114" s="1"/>
      <c r="AF114" s="1"/>
      <c r="AG114" s="1"/>
    </row>
    <row r="115" customFormat="false" ht="13.5" hidden="false" customHeight="true" outlineLevel="0" collapsed="false">
      <c r="T115" s="1"/>
      <c r="U115" s="124"/>
      <c r="V115" s="119"/>
      <c r="W115" s="132"/>
      <c r="X115" s="120"/>
      <c r="Z115" s="1"/>
      <c r="AA115" s="1"/>
      <c r="AB115" s="1"/>
      <c r="AC115" s="1"/>
      <c r="AD115" s="1"/>
      <c r="AE115" s="1"/>
      <c r="AF115" s="1"/>
      <c r="AG115" s="1"/>
    </row>
    <row r="116" customFormat="false" ht="13.5" hidden="false" customHeight="true" outlineLevel="0" collapsed="false">
      <c r="T116" s="1"/>
      <c r="U116" s="124"/>
      <c r="V116" s="119"/>
      <c r="W116" s="132"/>
      <c r="X116" s="120"/>
      <c r="Y116" s="2" t="s">
        <v>75</v>
      </c>
      <c r="Z116" s="1"/>
      <c r="AA116" s="1"/>
      <c r="AB116" s="1"/>
      <c r="AC116" s="1"/>
      <c r="AD116" s="1"/>
      <c r="AE116" s="1"/>
      <c r="AF116" s="1"/>
      <c r="AG116" s="1"/>
    </row>
    <row r="117" customFormat="false" ht="27" hidden="false" customHeight="true" outlineLevel="0" collapsed="false">
      <c r="T117" s="1"/>
      <c r="U117" s="118" t="n">
        <f aca="false">60/(3*2)*12.5</f>
        <v>125</v>
      </c>
      <c r="V117" s="119"/>
      <c r="W117" s="132"/>
      <c r="X117" s="120"/>
      <c r="Y117" s="121" t="e">
        <f aca="false">#REF!/U117</f>
        <v>#REF!</v>
      </c>
      <c r="Z117" s="1"/>
      <c r="AA117" s="1"/>
      <c r="AB117" s="1"/>
      <c r="AC117" s="1"/>
      <c r="AD117" s="1"/>
      <c r="AE117" s="1"/>
      <c r="AF117" s="1"/>
      <c r="AG117" s="1"/>
    </row>
    <row r="118" customFormat="false" ht="13.5" hidden="false" customHeight="true" outlineLevel="0" collapsed="false">
      <c r="T118" s="1"/>
      <c r="U118" s="124"/>
      <c r="V118" s="119"/>
      <c r="W118" s="132"/>
      <c r="X118" s="120"/>
      <c r="Z118" s="1"/>
      <c r="AA118" s="1"/>
      <c r="AB118" s="1"/>
      <c r="AC118" s="1"/>
      <c r="AD118" s="1"/>
      <c r="AE118" s="1"/>
      <c r="AF118" s="1"/>
      <c r="AG118" s="1"/>
    </row>
    <row r="119" customFormat="false" ht="13.5" hidden="false" customHeight="true" outlineLevel="0" collapsed="false">
      <c r="T119" s="1"/>
      <c r="U119" s="124"/>
      <c r="V119" s="119"/>
      <c r="W119" s="132"/>
      <c r="X119" s="120"/>
      <c r="Z119" s="1"/>
      <c r="AA119" s="1"/>
      <c r="AB119" s="1"/>
      <c r="AC119" s="1"/>
      <c r="AD119" s="1"/>
      <c r="AE119" s="1"/>
      <c r="AF119" s="1"/>
      <c r="AG119" s="1"/>
    </row>
    <row r="120" customFormat="false" ht="13.5" hidden="false" customHeight="true" outlineLevel="0" collapsed="false">
      <c r="T120" s="1"/>
      <c r="U120" s="124"/>
      <c r="V120" s="119"/>
      <c r="W120" s="132"/>
      <c r="X120" s="120"/>
      <c r="Z120" s="1"/>
      <c r="AA120" s="1"/>
      <c r="AB120" s="1"/>
      <c r="AC120" s="1"/>
      <c r="AD120" s="1"/>
      <c r="AE120" s="1"/>
      <c r="AF120" s="1"/>
      <c r="AG120" s="1"/>
    </row>
    <row r="121" customFormat="false" ht="25.5" hidden="false" customHeight="true" outlineLevel="0" collapsed="false">
      <c r="T121" s="1"/>
      <c r="U121" s="124"/>
      <c r="V121" s="119"/>
      <c r="W121" s="125"/>
      <c r="X121" s="124"/>
      <c r="Y121" s="1"/>
      <c r="Z121" s="1"/>
      <c r="AA121" s="1"/>
      <c r="AB121" s="1"/>
      <c r="AC121" s="1"/>
      <c r="AD121" s="1"/>
      <c r="AE121" s="1"/>
      <c r="AF121" s="1"/>
      <c r="AG121" s="1"/>
    </row>
    <row r="122" customFormat="false" ht="12.75" hidden="false" customHeight="false" outlineLevel="0" collapsed="false">
      <c r="T122" s="1"/>
      <c r="U122" s="124"/>
      <c r="V122" s="119"/>
      <c r="W122" s="125"/>
      <c r="X122" s="124"/>
      <c r="Y122" s="1"/>
      <c r="Z122" s="1"/>
      <c r="AA122" s="1"/>
      <c r="AB122" s="1"/>
      <c r="AC122" s="1"/>
      <c r="AD122" s="1"/>
      <c r="AE122" s="1"/>
      <c r="AF122" s="1"/>
      <c r="AG122" s="1"/>
    </row>
    <row r="123" customFormat="false" ht="12.75" hidden="false" customHeight="false" outlineLevel="0" collapsed="false">
      <c r="U123" s="120"/>
      <c r="V123" s="179"/>
      <c r="W123" s="132"/>
      <c r="X123" s="120"/>
    </row>
    <row r="124" customFormat="false" ht="12.75" hidden="false" customHeight="false" outlineLevel="0" collapsed="false">
      <c r="U124" s="120"/>
      <c r="V124" s="179"/>
      <c r="W124" s="132"/>
      <c r="X124" s="120"/>
    </row>
    <row r="125" customFormat="false" ht="12.75" hidden="false" customHeight="false" outlineLevel="0" collapsed="false">
      <c r="U125" s="120"/>
      <c r="V125" s="179"/>
      <c r="W125" s="132"/>
      <c r="X125" s="120"/>
    </row>
    <row r="126" customFormat="false" ht="12.75" hidden="false" customHeight="false" outlineLevel="0" collapsed="false">
      <c r="U126" s="120"/>
      <c r="V126" s="179"/>
      <c r="W126" s="132"/>
      <c r="X126" s="120"/>
    </row>
    <row r="127" customFormat="false" ht="12.75" hidden="false" customHeight="false" outlineLevel="0" collapsed="false">
      <c r="U127" s="120"/>
      <c r="V127" s="179"/>
      <c r="W127" s="132"/>
      <c r="X127" s="120"/>
    </row>
    <row r="128" customFormat="false" ht="12.75" hidden="false" customHeight="false" outlineLevel="0" collapsed="false">
      <c r="U128" s="120"/>
      <c r="V128" s="179"/>
      <c r="W128" s="132"/>
      <c r="X128" s="120"/>
    </row>
    <row r="129" customFormat="false" ht="12.75" hidden="false" customHeight="false" outlineLevel="0" collapsed="false">
      <c r="U129" s="120"/>
      <c r="V129" s="179"/>
      <c r="W129" s="132"/>
      <c r="X129" s="120"/>
    </row>
    <row r="130" customFormat="false" ht="12.75" hidden="false" customHeight="false" outlineLevel="0" collapsed="false">
      <c r="U130" s="120"/>
      <c r="V130" s="179"/>
      <c r="W130" s="132"/>
      <c r="X130" s="120"/>
    </row>
    <row r="131" customFormat="false" ht="12.75" hidden="false" customHeight="false" outlineLevel="0" collapsed="false">
      <c r="U131" s="120"/>
      <c r="V131" s="179"/>
      <c r="W131" s="132"/>
      <c r="X131" s="120"/>
    </row>
    <row r="132" customFormat="false" ht="12.75" hidden="false" customHeight="false" outlineLevel="0" collapsed="false">
      <c r="U132" s="120"/>
      <c r="V132" s="179"/>
      <c r="W132" s="132"/>
      <c r="X132" s="120"/>
    </row>
    <row r="133" customFormat="false" ht="12.75" hidden="false" customHeight="false" outlineLevel="0" collapsed="false">
      <c r="U133" s="120"/>
      <c r="V133" s="179"/>
      <c r="W133" s="132"/>
      <c r="X133" s="120"/>
    </row>
    <row r="134" customFormat="false" ht="12.75" hidden="false" customHeight="false" outlineLevel="0" collapsed="false">
      <c r="U134" s="120"/>
      <c r="V134" s="179"/>
      <c r="W134" s="132"/>
      <c r="X134" s="120"/>
    </row>
    <row r="135" customFormat="false" ht="12.75" hidden="false" customHeight="false" outlineLevel="0" collapsed="false">
      <c r="U135" s="120"/>
      <c r="V135" s="179"/>
      <c r="W135" s="132"/>
      <c r="X135" s="120"/>
    </row>
    <row r="136" customFormat="false" ht="12.75" hidden="false" customHeight="false" outlineLevel="0" collapsed="false">
      <c r="U136" s="120"/>
      <c r="V136" s="179"/>
      <c r="W136" s="132"/>
      <c r="X136" s="120"/>
    </row>
    <row r="137" customFormat="false" ht="12.75" hidden="false" customHeight="false" outlineLevel="0" collapsed="false">
      <c r="U137" s="120"/>
      <c r="V137" s="179"/>
      <c r="W137" s="132"/>
      <c r="X137" s="120"/>
    </row>
    <row r="138" customFormat="false" ht="12.75" hidden="false" customHeight="false" outlineLevel="0" collapsed="false">
      <c r="U138" s="120"/>
      <c r="V138" s="179"/>
      <c r="W138" s="132"/>
      <c r="X138" s="120"/>
    </row>
    <row r="139" customFormat="false" ht="12.75" hidden="false" customHeight="false" outlineLevel="0" collapsed="false">
      <c r="U139" s="120"/>
      <c r="V139" s="179"/>
      <c r="W139" s="132"/>
      <c r="X139" s="120"/>
    </row>
    <row r="140" customFormat="false" ht="12.75" hidden="false" customHeight="false" outlineLevel="0" collapsed="false">
      <c r="U140" s="120"/>
      <c r="V140" s="179"/>
      <c r="W140" s="132"/>
      <c r="X140" s="120"/>
    </row>
    <row r="141" customFormat="false" ht="12.75" hidden="false" customHeight="false" outlineLevel="0" collapsed="false">
      <c r="U141" s="120"/>
      <c r="V141" s="179"/>
      <c r="W141" s="132"/>
      <c r="X141" s="120"/>
    </row>
    <row r="142" customFormat="false" ht="12.75" hidden="false" customHeight="false" outlineLevel="0" collapsed="false">
      <c r="U142" s="120"/>
      <c r="V142" s="179"/>
      <c r="W142" s="132"/>
      <c r="X142" s="120"/>
    </row>
    <row r="143" customFormat="false" ht="12.75" hidden="false" customHeight="false" outlineLevel="0" collapsed="false">
      <c r="U143" s="120"/>
      <c r="V143" s="179"/>
      <c r="W143" s="132"/>
      <c r="X143" s="120"/>
    </row>
    <row r="144" customFormat="false" ht="12.75" hidden="false" customHeight="false" outlineLevel="0" collapsed="false">
      <c r="U144" s="120"/>
      <c r="V144" s="179"/>
      <c r="W144" s="132"/>
      <c r="X144" s="120"/>
    </row>
    <row r="145" customFormat="false" ht="12.75" hidden="false" customHeight="false" outlineLevel="0" collapsed="false">
      <c r="U145" s="120"/>
      <c r="V145" s="179"/>
      <c r="W145" s="132"/>
      <c r="X145" s="120"/>
    </row>
    <row r="146" customFormat="false" ht="12.75" hidden="false" customHeight="false" outlineLevel="0" collapsed="false">
      <c r="U146" s="120"/>
      <c r="V146" s="179"/>
      <c r="W146" s="132"/>
      <c r="X146" s="120"/>
    </row>
    <row r="147" customFormat="false" ht="12.75" hidden="false" customHeight="false" outlineLevel="0" collapsed="false">
      <c r="U147" s="120"/>
      <c r="V147" s="179"/>
      <c r="W147" s="132"/>
      <c r="X147" s="120"/>
    </row>
    <row r="148" customFormat="false" ht="12.75" hidden="false" customHeight="false" outlineLevel="0" collapsed="false">
      <c r="U148" s="120"/>
      <c r="V148" s="179"/>
      <c r="W148" s="132"/>
      <c r="X148" s="120"/>
    </row>
    <row r="149" customFormat="false" ht="12.75" hidden="false" customHeight="false" outlineLevel="0" collapsed="false">
      <c r="U149" s="120"/>
      <c r="V149" s="179"/>
      <c r="W149" s="132"/>
      <c r="X149" s="120"/>
    </row>
    <row r="150" customFormat="false" ht="12.75" hidden="false" customHeight="false" outlineLevel="0" collapsed="false">
      <c r="U150" s="120"/>
      <c r="V150" s="179"/>
      <c r="W150" s="132"/>
      <c r="X150" s="120"/>
    </row>
    <row r="151" customFormat="false" ht="12.75" hidden="false" customHeight="false" outlineLevel="0" collapsed="false">
      <c r="U151" s="120"/>
      <c r="V151" s="179"/>
      <c r="W151" s="132"/>
      <c r="X151" s="120"/>
    </row>
    <row r="152" customFormat="false" ht="12.75" hidden="false" customHeight="false" outlineLevel="0" collapsed="false">
      <c r="U152" s="120"/>
      <c r="V152" s="179"/>
      <c r="W152" s="132"/>
      <c r="X152" s="120"/>
    </row>
    <row r="153" customFormat="false" ht="12.75" hidden="false" customHeight="false" outlineLevel="0" collapsed="false">
      <c r="U153" s="120"/>
      <c r="V153" s="179"/>
      <c r="W153" s="132"/>
      <c r="X153" s="120"/>
    </row>
    <row r="154" customFormat="false" ht="12.75" hidden="false" customHeight="false" outlineLevel="0" collapsed="false">
      <c r="U154" s="120"/>
      <c r="V154" s="179"/>
      <c r="W154" s="132"/>
      <c r="X154" s="120"/>
    </row>
    <row r="155" customFormat="false" ht="12.75" hidden="false" customHeight="false" outlineLevel="0" collapsed="false">
      <c r="U155" s="120"/>
      <c r="V155" s="179"/>
      <c r="W155" s="132"/>
      <c r="X155" s="120"/>
    </row>
    <row r="156" customFormat="false" ht="12.75" hidden="false" customHeight="false" outlineLevel="0" collapsed="false">
      <c r="U156" s="120"/>
      <c r="V156" s="179"/>
      <c r="W156" s="132"/>
      <c r="X156" s="120"/>
    </row>
    <row r="157" customFormat="false" ht="12.75" hidden="false" customHeight="false" outlineLevel="0" collapsed="false">
      <c r="U157" s="120"/>
      <c r="V157" s="179"/>
      <c r="W157" s="132"/>
      <c r="X157" s="120"/>
    </row>
    <row r="158" customFormat="false" ht="12.75" hidden="false" customHeight="false" outlineLevel="0" collapsed="false">
      <c r="U158" s="120"/>
      <c r="V158" s="179"/>
      <c r="W158" s="132"/>
      <c r="X158" s="120"/>
    </row>
    <row r="159" customFormat="false" ht="12.75" hidden="false" customHeight="false" outlineLevel="0" collapsed="false">
      <c r="U159" s="120"/>
      <c r="V159" s="179"/>
      <c r="W159" s="132"/>
      <c r="X159" s="120"/>
    </row>
    <row r="160" customFormat="false" ht="12.75" hidden="false" customHeight="false" outlineLevel="0" collapsed="false">
      <c r="U160" s="120"/>
      <c r="V160" s="179"/>
      <c r="W160" s="132"/>
      <c r="X160" s="120"/>
    </row>
    <row r="161" customFormat="false" ht="12.75" hidden="false" customHeight="false" outlineLevel="0" collapsed="false">
      <c r="U161" s="120"/>
      <c r="V161" s="179"/>
      <c r="W161" s="132"/>
      <c r="X161" s="120"/>
    </row>
    <row r="162" customFormat="false" ht="12.75" hidden="false" customHeight="false" outlineLevel="0" collapsed="false">
      <c r="U162" s="120"/>
      <c r="V162" s="179"/>
      <c r="W162" s="132"/>
      <c r="X162" s="120"/>
    </row>
    <row r="163" customFormat="false" ht="12.75" hidden="false" customHeight="false" outlineLevel="0" collapsed="false">
      <c r="U163" s="120"/>
      <c r="V163" s="179"/>
      <c r="W163" s="132"/>
      <c r="X163" s="120"/>
    </row>
    <row r="164" customFormat="false" ht="12.75" hidden="false" customHeight="false" outlineLevel="0" collapsed="false">
      <c r="U164" s="120"/>
      <c r="V164" s="179"/>
      <c r="W164" s="132"/>
      <c r="X164" s="120"/>
    </row>
    <row r="165" customFormat="false" ht="12.75" hidden="false" customHeight="false" outlineLevel="0" collapsed="false">
      <c r="U165" s="120"/>
      <c r="V165" s="179"/>
      <c r="W165" s="132"/>
      <c r="X165" s="120"/>
    </row>
    <row r="166" customFormat="false" ht="12.75" hidden="false" customHeight="false" outlineLevel="0" collapsed="false">
      <c r="U166" s="120"/>
      <c r="V166" s="179"/>
      <c r="W166" s="132"/>
      <c r="X166" s="120"/>
    </row>
    <row r="167" customFormat="false" ht="12.75" hidden="false" customHeight="false" outlineLevel="0" collapsed="false">
      <c r="U167" s="120"/>
      <c r="V167" s="179"/>
      <c r="W167" s="132"/>
      <c r="X167" s="120"/>
    </row>
    <row r="168" customFormat="false" ht="12.75" hidden="false" customHeight="false" outlineLevel="0" collapsed="false">
      <c r="U168" s="120"/>
      <c r="V168" s="179"/>
      <c r="W168" s="132"/>
      <c r="X168" s="120"/>
    </row>
    <row r="169" customFormat="false" ht="12.75" hidden="false" customHeight="false" outlineLevel="0" collapsed="false">
      <c r="U169" s="120"/>
      <c r="V169" s="179"/>
      <c r="W169" s="132"/>
      <c r="X169" s="120"/>
    </row>
    <row r="170" customFormat="false" ht="12.75" hidden="false" customHeight="false" outlineLevel="0" collapsed="false">
      <c r="U170" s="120"/>
      <c r="V170" s="179"/>
      <c r="W170" s="132"/>
      <c r="X170" s="120"/>
    </row>
    <row r="171" customFormat="false" ht="12.75" hidden="false" customHeight="false" outlineLevel="0" collapsed="false">
      <c r="U171" s="120"/>
      <c r="V171" s="179"/>
      <c r="W171" s="132"/>
      <c r="X171" s="120"/>
    </row>
    <row r="172" customFormat="false" ht="12.75" hidden="false" customHeight="false" outlineLevel="0" collapsed="false">
      <c r="U172" s="120"/>
      <c r="V172" s="179"/>
      <c r="W172" s="132"/>
      <c r="X172" s="120"/>
    </row>
    <row r="173" customFormat="false" ht="12.75" hidden="false" customHeight="false" outlineLevel="0" collapsed="false">
      <c r="U173" s="120"/>
      <c r="V173" s="179"/>
      <c r="W173" s="132"/>
      <c r="X173" s="120"/>
    </row>
    <row r="174" customFormat="false" ht="12.75" hidden="false" customHeight="false" outlineLevel="0" collapsed="false">
      <c r="U174" s="120"/>
      <c r="V174" s="179"/>
      <c r="W174" s="132"/>
      <c r="X174" s="120"/>
    </row>
    <row r="175" customFormat="false" ht="12.75" hidden="false" customHeight="false" outlineLevel="0" collapsed="false">
      <c r="U175" s="120"/>
      <c r="V175" s="179"/>
      <c r="W175" s="132"/>
      <c r="X175" s="120"/>
    </row>
    <row r="176" customFormat="false" ht="12.75" hidden="false" customHeight="false" outlineLevel="0" collapsed="false">
      <c r="U176" s="120"/>
      <c r="V176" s="179"/>
      <c r="W176" s="132"/>
      <c r="X176" s="120"/>
    </row>
    <row r="177" customFormat="false" ht="12.75" hidden="false" customHeight="false" outlineLevel="0" collapsed="false">
      <c r="U177" s="120"/>
      <c r="V177" s="179"/>
      <c r="W177" s="132"/>
      <c r="X177" s="120"/>
    </row>
    <row r="178" customFormat="false" ht="12.75" hidden="false" customHeight="false" outlineLevel="0" collapsed="false">
      <c r="U178" s="120"/>
      <c r="V178" s="179"/>
      <c r="W178" s="132"/>
      <c r="X178" s="120"/>
    </row>
    <row r="179" customFormat="false" ht="12.75" hidden="false" customHeight="false" outlineLevel="0" collapsed="false">
      <c r="U179" s="120"/>
      <c r="V179" s="179"/>
      <c r="W179" s="132"/>
      <c r="X179" s="120"/>
    </row>
    <row r="180" customFormat="false" ht="12.75" hidden="false" customHeight="false" outlineLevel="0" collapsed="false">
      <c r="U180" s="120"/>
      <c r="V180" s="179"/>
      <c r="W180" s="132"/>
      <c r="X180" s="120"/>
    </row>
    <row r="181" customFormat="false" ht="12.75" hidden="false" customHeight="false" outlineLevel="0" collapsed="false">
      <c r="U181" s="120"/>
      <c r="V181" s="179"/>
      <c r="W181" s="132"/>
      <c r="X181" s="120"/>
    </row>
    <row r="182" customFormat="false" ht="12.75" hidden="false" customHeight="false" outlineLevel="0" collapsed="false">
      <c r="U182" s="120"/>
      <c r="V182" s="179"/>
      <c r="W182" s="132"/>
      <c r="X182" s="120"/>
    </row>
    <row r="183" customFormat="false" ht="12.75" hidden="false" customHeight="false" outlineLevel="0" collapsed="false">
      <c r="U183" s="120"/>
      <c r="V183" s="179"/>
      <c r="W183" s="132"/>
      <c r="X183" s="120"/>
    </row>
    <row r="184" customFormat="false" ht="12.75" hidden="false" customHeight="false" outlineLevel="0" collapsed="false">
      <c r="U184" s="120"/>
      <c r="V184" s="179"/>
      <c r="W184" s="132"/>
      <c r="X184" s="120"/>
    </row>
    <row r="185" customFormat="false" ht="12.75" hidden="false" customHeight="false" outlineLevel="0" collapsed="false">
      <c r="U185" s="120"/>
      <c r="V185" s="179"/>
      <c r="W185" s="132"/>
      <c r="X185" s="120"/>
    </row>
    <row r="186" customFormat="false" ht="12.75" hidden="false" customHeight="false" outlineLevel="0" collapsed="false">
      <c r="U186" s="120"/>
      <c r="V186" s="179"/>
      <c r="W186" s="132"/>
      <c r="X186" s="120"/>
    </row>
    <row r="187" customFormat="false" ht="12.75" hidden="false" customHeight="false" outlineLevel="0" collapsed="false">
      <c r="U187" s="120"/>
      <c r="V187" s="179"/>
      <c r="W187" s="132"/>
      <c r="X187" s="120"/>
    </row>
    <row r="188" customFormat="false" ht="12.75" hidden="false" customHeight="false" outlineLevel="0" collapsed="false">
      <c r="U188" s="120"/>
      <c r="V188" s="179"/>
      <c r="W188" s="132"/>
      <c r="X188" s="120"/>
    </row>
    <row r="189" customFormat="false" ht="12.75" hidden="false" customHeight="false" outlineLevel="0" collapsed="false">
      <c r="U189" s="120"/>
      <c r="V189" s="179"/>
      <c r="W189" s="132"/>
      <c r="X189" s="120"/>
    </row>
    <row r="190" customFormat="false" ht="12.75" hidden="false" customHeight="false" outlineLevel="0" collapsed="false">
      <c r="U190" s="120"/>
      <c r="V190" s="179"/>
      <c r="W190" s="132"/>
      <c r="X190" s="120"/>
    </row>
    <row r="191" customFormat="false" ht="12.75" hidden="false" customHeight="false" outlineLevel="0" collapsed="false">
      <c r="U191" s="120"/>
      <c r="V191" s="179"/>
      <c r="W191" s="132"/>
      <c r="X191" s="120"/>
    </row>
    <row r="192" customFormat="false" ht="12.75" hidden="false" customHeight="false" outlineLevel="0" collapsed="false">
      <c r="U192" s="120"/>
      <c r="V192" s="179"/>
      <c r="W192" s="132"/>
      <c r="X192" s="120"/>
    </row>
    <row r="193" customFormat="false" ht="12.75" hidden="false" customHeight="false" outlineLevel="0" collapsed="false">
      <c r="U193" s="120"/>
      <c r="V193" s="179"/>
      <c r="W193" s="132"/>
      <c r="X193" s="120"/>
    </row>
    <row r="194" customFormat="false" ht="12.75" hidden="false" customHeight="false" outlineLevel="0" collapsed="false">
      <c r="U194" s="120"/>
      <c r="V194" s="179"/>
      <c r="W194" s="132"/>
      <c r="X194" s="120"/>
    </row>
    <row r="195" customFormat="false" ht="12.75" hidden="false" customHeight="false" outlineLevel="0" collapsed="false">
      <c r="U195" s="120"/>
      <c r="V195" s="179"/>
      <c r="W195" s="132"/>
      <c r="X195" s="120"/>
    </row>
    <row r="196" customFormat="false" ht="12.75" hidden="false" customHeight="false" outlineLevel="0" collapsed="false">
      <c r="U196" s="120"/>
      <c r="V196" s="179"/>
      <c r="W196" s="132"/>
      <c r="X196" s="120"/>
    </row>
    <row r="197" customFormat="false" ht="12.75" hidden="false" customHeight="false" outlineLevel="0" collapsed="false">
      <c r="U197" s="120"/>
      <c r="V197" s="179"/>
      <c r="W197" s="132"/>
      <c r="X197" s="120"/>
    </row>
    <row r="198" customFormat="false" ht="12.75" hidden="false" customHeight="false" outlineLevel="0" collapsed="false">
      <c r="U198" s="120"/>
      <c r="V198" s="179"/>
      <c r="W198" s="132"/>
      <c r="X198" s="120"/>
    </row>
    <row r="199" customFormat="false" ht="12.75" hidden="false" customHeight="false" outlineLevel="0" collapsed="false">
      <c r="U199" s="120"/>
      <c r="V199" s="179"/>
      <c r="W199" s="132"/>
      <c r="X199" s="120"/>
    </row>
    <row r="200" customFormat="false" ht="12.75" hidden="false" customHeight="false" outlineLevel="0" collapsed="false">
      <c r="U200" s="120"/>
      <c r="V200" s="179"/>
      <c r="W200" s="132"/>
      <c r="X200" s="120"/>
    </row>
    <row r="201" customFormat="false" ht="12.75" hidden="false" customHeight="false" outlineLevel="0" collapsed="false">
      <c r="U201" s="120"/>
      <c r="V201" s="179"/>
      <c r="W201" s="132"/>
      <c r="X201" s="120"/>
    </row>
    <row r="202" customFormat="false" ht="12.75" hidden="false" customHeight="false" outlineLevel="0" collapsed="false">
      <c r="U202" s="120"/>
      <c r="V202" s="179"/>
      <c r="W202" s="132"/>
      <c r="X202" s="120"/>
    </row>
    <row r="203" customFormat="false" ht="12.75" hidden="false" customHeight="false" outlineLevel="0" collapsed="false">
      <c r="U203" s="120"/>
      <c r="V203" s="179"/>
      <c r="W203" s="132"/>
      <c r="X203" s="120"/>
    </row>
    <row r="204" customFormat="false" ht="12.75" hidden="false" customHeight="false" outlineLevel="0" collapsed="false">
      <c r="U204" s="120"/>
      <c r="V204" s="179"/>
      <c r="W204" s="132"/>
      <c r="X204" s="120"/>
    </row>
    <row r="205" customFormat="false" ht="12.75" hidden="false" customHeight="false" outlineLevel="0" collapsed="false">
      <c r="U205" s="120"/>
      <c r="V205" s="179"/>
      <c r="W205" s="132"/>
      <c r="X205" s="120"/>
    </row>
    <row r="206" customFormat="false" ht="12.75" hidden="false" customHeight="false" outlineLevel="0" collapsed="false">
      <c r="U206" s="120"/>
      <c r="V206" s="179"/>
      <c r="W206" s="132"/>
      <c r="X206" s="120"/>
    </row>
    <row r="207" customFormat="false" ht="12.75" hidden="false" customHeight="false" outlineLevel="0" collapsed="false">
      <c r="U207" s="120"/>
      <c r="V207" s="179"/>
      <c r="W207" s="132"/>
      <c r="X207" s="120"/>
    </row>
    <row r="208" customFormat="false" ht="12.75" hidden="false" customHeight="false" outlineLevel="0" collapsed="false">
      <c r="U208" s="120"/>
      <c r="V208" s="179"/>
      <c r="W208" s="132"/>
      <c r="X208" s="120"/>
    </row>
    <row r="209" customFormat="false" ht="12.75" hidden="false" customHeight="false" outlineLevel="0" collapsed="false">
      <c r="U209" s="120"/>
      <c r="V209" s="179"/>
      <c r="W209" s="132"/>
      <c r="X209" s="120"/>
    </row>
    <row r="210" customFormat="false" ht="12.75" hidden="false" customHeight="false" outlineLevel="0" collapsed="false">
      <c r="U210" s="120"/>
      <c r="V210" s="179"/>
      <c r="W210" s="132"/>
      <c r="X210" s="120"/>
    </row>
    <row r="211" customFormat="false" ht="12.75" hidden="false" customHeight="false" outlineLevel="0" collapsed="false">
      <c r="U211" s="120"/>
      <c r="V211" s="179"/>
      <c r="W211" s="132"/>
      <c r="X211" s="120"/>
    </row>
    <row r="212" customFormat="false" ht="12.75" hidden="false" customHeight="false" outlineLevel="0" collapsed="false">
      <c r="U212" s="120"/>
      <c r="V212" s="179"/>
      <c r="W212" s="132"/>
      <c r="X212" s="120"/>
    </row>
    <row r="213" customFormat="false" ht="12.75" hidden="false" customHeight="false" outlineLevel="0" collapsed="false">
      <c r="U213" s="120"/>
      <c r="V213" s="179"/>
      <c r="W213" s="132"/>
      <c r="X213" s="120"/>
    </row>
    <row r="214" customFormat="false" ht="12.75" hidden="false" customHeight="false" outlineLevel="0" collapsed="false">
      <c r="U214" s="120"/>
      <c r="V214" s="179"/>
      <c r="W214" s="132"/>
      <c r="X214" s="120"/>
    </row>
    <row r="215" customFormat="false" ht="12.75" hidden="false" customHeight="false" outlineLevel="0" collapsed="false">
      <c r="U215" s="120"/>
      <c r="V215" s="179"/>
      <c r="W215" s="132"/>
      <c r="X215" s="120"/>
    </row>
    <row r="216" customFormat="false" ht="12.75" hidden="false" customHeight="false" outlineLevel="0" collapsed="false">
      <c r="U216" s="120"/>
      <c r="V216" s="179"/>
      <c r="W216" s="132"/>
      <c r="X216" s="120"/>
    </row>
    <row r="217" customFormat="false" ht="12.75" hidden="false" customHeight="false" outlineLevel="0" collapsed="false">
      <c r="U217" s="120"/>
      <c r="V217" s="179"/>
      <c r="W217" s="132"/>
      <c r="X217" s="120"/>
    </row>
    <row r="218" customFormat="false" ht="12.75" hidden="false" customHeight="false" outlineLevel="0" collapsed="false">
      <c r="U218" s="120"/>
      <c r="V218" s="179"/>
      <c r="W218" s="132"/>
      <c r="X218" s="120"/>
    </row>
    <row r="219" customFormat="false" ht="12.75" hidden="false" customHeight="false" outlineLevel="0" collapsed="false">
      <c r="U219" s="120"/>
      <c r="V219" s="179"/>
      <c r="W219" s="132"/>
      <c r="X219" s="120"/>
    </row>
    <row r="220" customFormat="false" ht="12.75" hidden="false" customHeight="false" outlineLevel="0" collapsed="false">
      <c r="U220" s="120"/>
      <c r="V220" s="179"/>
      <c r="W220" s="132"/>
      <c r="X220" s="120"/>
    </row>
    <row r="221" customFormat="false" ht="12.75" hidden="false" customHeight="false" outlineLevel="0" collapsed="false">
      <c r="U221" s="120"/>
      <c r="V221" s="179"/>
      <c r="W221" s="132"/>
      <c r="X221" s="120"/>
    </row>
    <row r="222" customFormat="false" ht="12.75" hidden="false" customHeight="false" outlineLevel="0" collapsed="false">
      <c r="U222" s="120"/>
      <c r="V222" s="179"/>
      <c r="W222" s="132"/>
      <c r="X222" s="120"/>
    </row>
    <row r="223" customFormat="false" ht="12.75" hidden="false" customHeight="false" outlineLevel="0" collapsed="false">
      <c r="U223" s="120"/>
      <c r="V223" s="179"/>
      <c r="W223" s="132"/>
      <c r="X223" s="120"/>
    </row>
    <row r="224" customFormat="false" ht="12.75" hidden="false" customHeight="false" outlineLevel="0" collapsed="false">
      <c r="U224" s="120"/>
      <c r="V224" s="179"/>
      <c r="W224" s="132"/>
      <c r="X224" s="120"/>
    </row>
    <row r="225" customFormat="false" ht="12.75" hidden="false" customHeight="false" outlineLevel="0" collapsed="false">
      <c r="U225" s="120"/>
      <c r="V225" s="179"/>
      <c r="W225" s="132"/>
      <c r="X225" s="120"/>
    </row>
    <row r="226" customFormat="false" ht="12.75" hidden="false" customHeight="false" outlineLevel="0" collapsed="false">
      <c r="U226" s="120"/>
      <c r="V226" s="179"/>
      <c r="W226" s="132"/>
      <c r="X226" s="120"/>
    </row>
    <row r="227" customFormat="false" ht="12.75" hidden="false" customHeight="false" outlineLevel="0" collapsed="false">
      <c r="U227" s="120"/>
      <c r="V227" s="179"/>
      <c r="W227" s="132"/>
      <c r="X227" s="120"/>
    </row>
    <row r="228" customFormat="false" ht="12.75" hidden="false" customHeight="false" outlineLevel="0" collapsed="false">
      <c r="U228" s="120"/>
      <c r="V228" s="179"/>
      <c r="W228" s="132"/>
      <c r="X228" s="120"/>
    </row>
    <row r="229" customFormat="false" ht="12.75" hidden="false" customHeight="false" outlineLevel="0" collapsed="false">
      <c r="U229" s="120"/>
      <c r="V229" s="179"/>
      <c r="W229" s="132"/>
      <c r="X229" s="120"/>
    </row>
    <row r="230" customFormat="false" ht="12.75" hidden="false" customHeight="false" outlineLevel="0" collapsed="false">
      <c r="U230" s="120"/>
      <c r="V230" s="179"/>
      <c r="W230" s="132"/>
      <c r="X230" s="120"/>
    </row>
    <row r="231" customFormat="false" ht="12.75" hidden="false" customHeight="false" outlineLevel="0" collapsed="false">
      <c r="U231" s="120"/>
      <c r="V231" s="179"/>
      <c r="W231" s="132"/>
      <c r="X231" s="120"/>
    </row>
    <row r="232" customFormat="false" ht="12.75" hidden="false" customHeight="false" outlineLevel="0" collapsed="false">
      <c r="U232" s="120"/>
      <c r="V232" s="179"/>
      <c r="W232" s="132"/>
      <c r="X232" s="120"/>
    </row>
    <row r="233" customFormat="false" ht="12.75" hidden="false" customHeight="false" outlineLevel="0" collapsed="false">
      <c r="U233" s="120"/>
      <c r="V233" s="179"/>
      <c r="W233" s="132"/>
      <c r="X233" s="120"/>
    </row>
    <row r="234" customFormat="false" ht="12.75" hidden="false" customHeight="false" outlineLevel="0" collapsed="false">
      <c r="U234" s="120"/>
      <c r="V234" s="179"/>
      <c r="W234" s="132"/>
      <c r="X234" s="120"/>
    </row>
    <row r="235" customFormat="false" ht="12.75" hidden="false" customHeight="false" outlineLevel="0" collapsed="false">
      <c r="U235" s="120"/>
      <c r="V235" s="179"/>
      <c r="W235" s="132"/>
      <c r="X235" s="120"/>
    </row>
    <row r="236" customFormat="false" ht="12.75" hidden="false" customHeight="false" outlineLevel="0" collapsed="false">
      <c r="U236" s="120"/>
      <c r="V236" s="179"/>
      <c r="W236" s="132"/>
      <c r="X236" s="120"/>
    </row>
    <row r="237" customFormat="false" ht="12.75" hidden="false" customHeight="false" outlineLevel="0" collapsed="false">
      <c r="U237" s="120"/>
      <c r="V237" s="179"/>
      <c r="W237" s="132"/>
      <c r="X237" s="120"/>
    </row>
    <row r="238" customFormat="false" ht="12.75" hidden="false" customHeight="false" outlineLevel="0" collapsed="false">
      <c r="U238" s="120"/>
      <c r="V238" s="179"/>
      <c r="W238" s="132"/>
      <c r="X238" s="120"/>
    </row>
    <row r="239" customFormat="false" ht="12.75" hidden="false" customHeight="false" outlineLevel="0" collapsed="false">
      <c r="U239" s="120"/>
      <c r="V239" s="179"/>
      <c r="W239" s="132"/>
      <c r="X239" s="120"/>
    </row>
    <row r="240" customFormat="false" ht="12.75" hidden="false" customHeight="false" outlineLevel="0" collapsed="false">
      <c r="U240" s="120"/>
      <c r="V240" s="179"/>
      <c r="W240" s="132"/>
      <c r="X240" s="120"/>
    </row>
    <row r="241" customFormat="false" ht="12.75" hidden="false" customHeight="false" outlineLevel="0" collapsed="false">
      <c r="U241" s="120"/>
      <c r="V241" s="179"/>
      <c r="W241" s="120"/>
      <c r="X241" s="120"/>
    </row>
    <row r="242" customFormat="false" ht="12.75" hidden="false" customHeight="false" outlineLevel="0" collapsed="false">
      <c r="U242" s="120"/>
      <c r="V242" s="179"/>
      <c r="W242" s="120"/>
      <c r="X242" s="120"/>
    </row>
    <row r="243" customFormat="false" ht="12.75" hidden="false" customHeight="false" outlineLevel="0" collapsed="false">
      <c r="U243" s="120"/>
      <c r="V243" s="179"/>
      <c r="W243" s="120"/>
      <c r="X243" s="120"/>
    </row>
    <row r="244" customFormat="false" ht="12.75" hidden="false" customHeight="false" outlineLevel="0" collapsed="false">
      <c r="U244" s="120"/>
      <c r="V244" s="179"/>
      <c r="W244" s="120"/>
      <c r="X244" s="120"/>
    </row>
    <row r="245" customFormat="false" ht="12.75" hidden="false" customHeight="false" outlineLevel="0" collapsed="false">
      <c r="U245" s="120"/>
      <c r="V245" s="179"/>
      <c r="W245" s="120"/>
      <c r="X245" s="120"/>
    </row>
    <row r="246" customFormat="false" ht="12.75" hidden="false" customHeight="false" outlineLevel="0" collapsed="false">
      <c r="U246" s="120"/>
      <c r="V246" s="179"/>
      <c r="W246" s="120"/>
      <c r="X246" s="120"/>
    </row>
    <row r="247" customFormat="false" ht="12.75" hidden="false" customHeight="false" outlineLevel="0" collapsed="false">
      <c r="U247" s="120"/>
      <c r="V247" s="179"/>
      <c r="W247" s="120"/>
      <c r="X247" s="120"/>
    </row>
    <row r="248" customFormat="false" ht="12.75" hidden="false" customHeight="false" outlineLevel="0" collapsed="false">
      <c r="U248" s="120"/>
      <c r="V248" s="179"/>
      <c r="W248" s="120"/>
      <c r="X248" s="120"/>
    </row>
    <row r="249" customFormat="false" ht="12.75" hidden="false" customHeight="false" outlineLevel="0" collapsed="false">
      <c r="U249" s="120"/>
      <c r="V249" s="179"/>
      <c r="W249" s="120"/>
      <c r="X249" s="120"/>
    </row>
    <row r="250" customFormat="false" ht="12.75" hidden="false" customHeight="false" outlineLevel="0" collapsed="false">
      <c r="U250" s="120"/>
      <c r="V250" s="179"/>
      <c r="W250" s="120"/>
      <c r="X250" s="120"/>
    </row>
    <row r="251" customFormat="false" ht="12.75" hidden="false" customHeight="false" outlineLevel="0" collapsed="false">
      <c r="U251" s="120"/>
      <c r="V251" s="179"/>
      <c r="W251" s="120"/>
      <c r="X251" s="120"/>
    </row>
    <row r="252" customFormat="false" ht="12.75" hidden="false" customHeight="false" outlineLevel="0" collapsed="false">
      <c r="U252" s="120"/>
      <c r="V252" s="179"/>
      <c r="W252" s="120"/>
      <c r="X252" s="120"/>
    </row>
    <row r="253" customFormat="false" ht="12.75" hidden="false" customHeight="false" outlineLevel="0" collapsed="false">
      <c r="U253" s="120"/>
      <c r="V253" s="179"/>
      <c r="W253" s="120"/>
      <c r="X253" s="120"/>
    </row>
    <row r="254" customFormat="false" ht="12.75" hidden="false" customHeight="false" outlineLevel="0" collapsed="false">
      <c r="U254" s="120"/>
      <c r="V254" s="179"/>
      <c r="W254" s="120"/>
      <c r="X254" s="120"/>
    </row>
    <row r="255" customFormat="false" ht="12.75" hidden="false" customHeight="false" outlineLevel="0" collapsed="false">
      <c r="U255" s="120"/>
      <c r="V255" s="179"/>
      <c r="W255" s="120"/>
      <c r="X255" s="120"/>
    </row>
    <row r="256" customFormat="false" ht="12.75" hidden="false" customHeight="false" outlineLevel="0" collapsed="false">
      <c r="U256" s="120"/>
      <c r="V256" s="179"/>
      <c r="W256" s="120"/>
      <c r="X256" s="120"/>
    </row>
    <row r="257" customFormat="false" ht="12.75" hidden="false" customHeight="false" outlineLevel="0" collapsed="false">
      <c r="U257" s="120"/>
      <c r="V257" s="179"/>
      <c r="W257" s="120"/>
      <c r="X257" s="120"/>
    </row>
    <row r="258" customFormat="false" ht="12.75" hidden="false" customHeight="false" outlineLevel="0" collapsed="false">
      <c r="U258" s="120"/>
      <c r="V258" s="179"/>
      <c r="W258" s="120"/>
      <c r="X258" s="120"/>
    </row>
    <row r="259" customFormat="false" ht="12.75" hidden="false" customHeight="false" outlineLevel="0" collapsed="false">
      <c r="U259" s="120"/>
      <c r="V259" s="179"/>
      <c r="W259" s="120"/>
      <c r="X259" s="120"/>
    </row>
    <row r="260" customFormat="false" ht="12.75" hidden="false" customHeight="false" outlineLevel="0" collapsed="false">
      <c r="U260" s="120"/>
      <c r="V260" s="179"/>
      <c r="W260" s="120"/>
      <c r="X260" s="120"/>
    </row>
    <row r="261" customFormat="false" ht="12.75" hidden="false" customHeight="false" outlineLevel="0" collapsed="false">
      <c r="U261" s="120"/>
      <c r="V261" s="179"/>
      <c r="W261" s="120"/>
      <c r="X261" s="120"/>
    </row>
    <row r="262" customFormat="false" ht="12.75" hidden="false" customHeight="false" outlineLevel="0" collapsed="false">
      <c r="U262" s="120"/>
      <c r="V262" s="179"/>
      <c r="W262" s="120"/>
      <c r="X262" s="120"/>
    </row>
    <row r="263" customFormat="false" ht="12.75" hidden="false" customHeight="false" outlineLevel="0" collapsed="false">
      <c r="U263" s="120"/>
      <c r="V263" s="179"/>
      <c r="W263" s="120"/>
      <c r="X263" s="120"/>
    </row>
    <row r="264" customFormat="false" ht="12.75" hidden="false" customHeight="false" outlineLevel="0" collapsed="false">
      <c r="U264" s="120"/>
      <c r="V264" s="179"/>
      <c r="W264" s="120"/>
      <c r="X264" s="120"/>
    </row>
    <row r="265" customFormat="false" ht="12.75" hidden="false" customHeight="false" outlineLevel="0" collapsed="false">
      <c r="U265" s="120"/>
      <c r="V265" s="179"/>
      <c r="W265" s="120"/>
      <c r="X265" s="120"/>
    </row>
    <row r="266" customFormat="false" ht="12.75" hidden="false" customHeight="false" outlineLevel="0" collapsed="false">
      <c r="U266" s="120"/>
      <c r="V266" s="179"/>
      <c r="W266" s="120"/>
      <c r="X266" s="120"/>
    </row>
    <row r="267" customFormat="false" ht="12.75" hidden="false" customHeight="false" outlineLevel="0" collapsed="false">
      <c r="U267" s="120"/>
      <c r="V267" s="179"/>
      <c r="W267" s="120"/>
      <c r="X267" s="120"/>
    </row>
    <row r="268" customFormat="false" ht="12.75" hidden="false" customHeight="false" outlineLevel="0" collapsed="false">
      <c r="U268" s="120"/>
      <c r="V268" s="179"/>
      <c r="W268" s="120"/>
      <c r="X268" s="120"/>
    </row>
    <row r="269" customFormat="false" ht="12.75" hidden="false" customHeight="false" outlineLevel="0" collapsed="false">
      <c r="U269" s="120"/>
      <c r="V269" s="179"/>
      <c r="W269" s="120"/>
      <c r="X269" s="120"/>
    </row>
    <row r="270" customFormat="false" ht="12.75" hidden="false" customHeight="false" outlineLevel="0" collapsed="false">
      <c r="U270" s="120"/>
      <c r="V270" s="179"/>
      <c r="W270" s="120"/>
      <c r="X270" s="120"/>
    </row>
    <row r="271" customFormat="false" ht="12.75" hidden="false" customHeight="false" outlineLevel="0" collapsed="false">
      <c r="U271" s="120"/>
      <c r="V271" s="179"/>
      <c r="W271" s="120"/>
      <c r="X271" s="120"/>
    </row>
    <row r="272" customFormat="false" ht="12.75" hidden="false" customHeight="false" outlineLevel="0" collapsed="false">
      <c r="U272" s="120"/>
      <c r="V272" s="179"/>
      <c r="W272" s="120"/>
      <c r="X272" s="120"/>
    </row>
    <row r="273" customFormat="false" ht="12.75" hidden="false" customHeight="false" outlineLevel="0" collapsed="false">
      <c r="U273" s="120"/>
      <c r="V273" s="179"/>
      <c r="W273" s="120"/>
      <c r="X273" s="120"/>
    </row>
    <row r="274" customFormat="false" ht="12.75" hidden="false" customHeight="false" outlineLevel="0" collapsed="false">
      <c r="U274" s="120"/>
      <c r="V274" s="179"/>
      <c r="W274" s="120"/>
      <c r="X274" s="120"/>
    </row>
    <row r="275" customFormat="false" ht="12.75" hidden="false" customHeight="false" outlineLevel="0" collapsed="false">
      <c r="U275" s="120"/>
      <c r="V275" s="179"/>
      <c r="W275" s="120"/>
      <c r="X275" s="120"/>
    </row>
    <row r="276" customFormat="false" ht="12.75" hidden="false" customHeight="false" outlineLevel="0" collapsed="false">
      <c r="U276" s="120"/>
      <c r="V276" s="179"/>
      <c r="W276" s="120"/>
      <c r="X276" s="120"/>
    </row>
    <row r="277" customFormat="false" ht="12.75" hidden="false" customHeight="false" outlineLevel="0" collapsed="false">
      <c r="U277" s="120"/>
      <c r="V277" s="179"/>
      <c r="W277" s="120"/>
      <c r="X277" s="120"/>
    </row>
    <row r="278" customFormat="false" ht="12.75" hidden="false" customHeight="false" outlineLevel="0" collapsed="false">
      <c r="U278" s="120"/>
      <c r="V278" s="179"/>
      <c r="W278" s="120"/>
      <c r="X278" s="120"/>
    </row>
    <row r="279" customFormat="false" ht="12.75" hidden="false" customHeight="false" outlineLevel="0" collapsed="false">
      <c r="U279" s="120"/>
      <c r="V279" s="179"/>
      <c r="W279" s="120"/>
      <c r="X279" s="120"/>
    </row>
    <row r="280" customFormat="false" ht="12.75" hidden="false" customHeight="false" outlineLevel="0" collapsed="false">
      <c r="U280" s="120"/>
      <c r="V280" s="179"/>
      <c r="W280" s="120"/>
      <c r="X280" s="120"/>
    </row>
    <row r="281" customFormat="false" ht="12.75" hidden="false" customHeight="false" outlineLevel="0" collapsed="false">
      <c r="U281" s="120"/>
      <c r="V281" s="179"/>
      <c r="W281" s="120"/>
      <c r="X281" s="120"/>
    </row>
    <row r="282" customFormat="false" ht="12.75" hidden="false" customHeight="false" outlineLevel="0" collapsed="false">
      <c r="U282" s="120"/>
      <c r="V282" s="179"/>
      <c r="W282" s="120"/>
      <c r="X282" s="120"/>
    </row>
    <row r="283" customFormat="false" ht="12.75" hidden="false" customHeight="false" outlineLevel="0" collapsed="false">
      <c r="U283" s="120"/>
      <c r="V283" s="179"/>
      <c r="W283" s="120"/>
      <c r="X283" s="120"/>
    </row>
    <row r="284" customFormat="false" ht="12.75" hidden="false" customHeight="false" outlineLevel="0" collapsed="false">
      <c r="U284" s="120"/>
      <c r="V284" s="179"/>
      <c r="W284" s="120"/>
      <c r="X284" s="120"/>
    </row>
    <row r="285" customFormat="false" ht="12.75" hidden="false" customHeight="false" outlineLevel="0" collapsed="false">
      <c r="U285" s="120"/>
      <c r="V285" s="179"/>
      <c r="W285" s="120"/>
      <c r="X285" s="120"/>
    </row>
    <row r="286" customFormat="false" ht="12.75" hidden="false" customHeight="false" outlineLevel="0" collapsed="false">
      <c r="U286" s="120"/>
      <c r="V286" s="179"/>
      <c r="W286" s="120"/>
      <c r="X286" s="120"/>
    </row>
    <row r="287" customFormat="false" ht="12.75" hidden="false" customHeight="false" outlineLevel="0" collapsed="false">
      <c r="U287" s="120"/>
      <c r="V287" s="179"/>
      <c r="W287" s="120"/>
      <c r="X287" s="120"/>
    </row>
    <row r="288" customFormat="false" ht="12.75" hidden="false" customHeight="false" outlineLevel="0" collapsed="false">
      <c r="U288" s="120"/>
      <c r="V288" s="179"/>
      <c r="W288" s="120"/>
      <c r="X288" s="120"/>
    </row>
    <row r="289" customFormat="false" ht="12.75" hidden="false" customHeight="false" outlineLevel="0" collapsed="false">
      <c r="U289" s="120"/>
      <c r="V289" s="179"/>
      <c r="W289" s="120"/>
      <c r="X289" s="120"/>
    </row>
    <row r="290" customFormat="false" ht="12.75" hidden="false" customHeight="false" outlineLevel="0" collapsed="false">
      <c r="U290" s="120"/>
      <c r="V290" s="179"/>
      <c r="W290" s="120"/>
      <c r="X290" s="120"/>
    </row>
    <row r="291" customFormat="false" ht="12.75" hidden="false" customHeight="false" outlineLevel="0" collapsed="false">
      <c r="U291" s="120"/>
      <c r="V291" s="179"/>
      <c r="W291" s="120"/>
      <c r="X291" s="120"/>
    </row>
    <row r="292" customFormat="false" ht="12.75" hidden="false" customHeight="false" outlineLevel="0" collapsed="false">
      <c r="U292" s="120"/>
      <c r="V292" s="179"/>
      <c r="W292" s="120"/>
      <c r="X292" s="120"/>
    </row>
    <row r="293" customFormat="false" ht="12.75" hidden="false" customHeight="false" outlineLevel="0" collapsed="false">
      <c r="U293" s="120"/>
      <c r="V293" s="179"/>
      <c r="W293" s="120"/>
      <c r="X293" s="120"/>
    </row>
    <row r="294" customFormat="false" ht="12.75" hidden="false" customHeight="false" outlineLevel="0" collapsed="false">
      <c r="U294" s="120"/>
      <c r="V294" s="179"/>
      <c r="W294" s="120"/>
      <c r="X294" s="120"/>
    </row>
    <row r="295" customFormat="false" ht="12.75" hidden="false" customHeight="false" outlineLevel="0" collapsed="false">
      <c r="U295" s="120"/>
      <c r="V295" s="179"/>
      <c r="W295" s="120"/>
      <c r="X295" s="120"/>
    </row>
    <row r="296" customFormat="false" ht="12.75" hidden="false" customHeight="false" outlineLevel="0" collapsed="false">
      <c r="U296" s="120"/>
      <c r="V296" s="179"/>
      <c r="W296" s="120"/>
      <c r="X296" s="120"/>
    </row>
    <row r="297" customFormat="false" ht="12.75" hidden="false" customHeight="false" outlineLevel="0" collapsed="false">
      <c r="U297" s="120"/>
      <c r="V297" s="179"/>
      <c r="W297" s="120"/>
      <c r="X297" s="120"/>
    </row>
    <row r="298" customFormat="false" ht="12.75" hidden="false" customHeight="false" outlineLevel="0" collapsed="false">
      <c r="U298" s="120"/>
      <c r="V298" s="179"/>
      <c r="W298" s="120"/>
      <c r="X298" s="120"/>
    </row>
    <row r="299" customFormat="false" ht="12.75" hidden="false" customHeight="false" outlineLevel="0" collapsed="false">
      <c r="U299" s="120"/>
      <c r="V299" s="179"/>
      <c r="W299" s="120"/>
      <c r="X299" s="120"/>
    </row>
    <row r="300" customFormat="false" ht="12.75" hidden="false" customHeight="false" outlineLevel="0" collapsed="false">
      <c r="U300" s="120"/>
      <c r="V300" s="179"/>
      <c r="W300" s="120"/>
      <c r="X300" s="120"/>
    </row>
    <row r="301" customFormat="false" ht="12.75" hidden="false" customHeight="false" outlineLevel="0" collapsed="false">
      <c r="U301" s="120"/>
      <c r="V301" s="179"/>
      <c r="W301" s="120"/>
      <c r="X301" s="120"/>
    </row>
    <row r="302" customFormat="false" ht="12.75" hidden="false" customHeight="false" outlineLevel="0" collapsed="false">
      <c r="U302" s="120"/>
      <c r="V302" s="179"/>
      <c r="W302" s="120"/>
      <c r="X302" s="120"/>
    </row>
    <row r="303" customFormat="false" ht="12.75" hidden="false" customHeight="false" outlineLevel="0" collapsed="false">
      <c r="U303" s="120"/>
      <c r="V303" s="179"/>
      <c r="W303" s="120"/>
      <c r="X303" s="120"/>
    </row>
    <row r="304" customFormat="false" ht="12.75" hidden="false" customHeight="false" outlineLevel="0" collapsed="false">
      <c r="U304" s="120"/>
      <c r="V304" s="179"/>
      <c r="W304" s="120"/>
      <c r="X304" s="120"/>
    </row>
    <row r="305" customFormat="false" ht="12.75" hidden="false" customHeight="false" outlineLevel="0" collapsed="false">
      <c r="U305" s="120"/>
      <c r="V305" s="179"/>
      <c r="W305" s="120"/>
      <c r="X305" s="120"/>
    </row>
    <row r="306" customFormat="false" ht="12.75" hidden="false" customHeight="false" outlineLevel="0" collapsed="false">
      <c r="U306" s="120"/>
      <c r="V306" s="179"/>
      <c r="W306" s="120"/>
      <c r="X306" s="120"/>
    </row>
    <row r="307" customFormat="false" ht="12.75" hidden="false" customHeight="false" outlineLevel="0" collapsed="false">
      <c r="U307" s="120"/>
      <c r="V307" s="179"/>
      <c r="W307" s="120"/>
      <c r="X307" s="120"/>
    </row>
    <row r="308" customFormat="false" ht="12.75" hidden="false" customHeight="false" outlineLevel="0" collapsed="false">
      <c r="N308" s="2" t="s">
        <v>165</v>
      </c>
      <c r="U308" s="120"/>
      <c r="V308" s="179"/>
      <c r="W308" s="120"/>
      <c r="X308" s="120"/>
    </row>
    <row r="309" customFormat="false" ht="12.75" hidden="false" customHeight="false" outlineLevel="0" collapsed="false">
      <c r="U309" s="120"/>
      <c r="V309" s="179"/>
      <c r="W309" s="120"/>
      <c r="X309" s="120"/>
    </row>
    <row r="310" customFormat="false" ht="12.75" hidden="false" customHeight="false" outlineLevel="0" collapsed="false">
      <c r="U310" s="120"/>
      <c r="V310" s="179"/>
      <c r="W310" s="120"/>
      <c r="X310" s="120"/>
    </row>
    <row r="311" customFormat="false" ht="12.75" hidden="false" customHeight="false" outlineLevel="0" collapsed="false">
      <c r="U311" s="120"/>
      <c r="V311" s="179"/>
      <c r="W311" s="120"/>
      <c r="X311" s="120"/>
    </row>
    <row r="312" customFormat="false" ht="12.75" hidden="false" customHeight="false" outlineLevel="0" collapsed="false">
      <c r="U312" s="120"/>
      <c r="V312" s="179"/>
      <c r="W312" s="120"/>
      <c r="X312" s="120"/>
    </row>
    <row r="313" customFormat="false" ht="12.75" hidden="false" customHeight="false" outlineLevel="0" collapsed="false">
      <c r="U313" s="120"/>
      <c r="V313" s="179"/>
      <c r="W313" s="120"/>
      <c r="X313" s="120"/>
    </row>
    <row r="314" customFormat="false" ht="12.75" hidden="false" customHeight="false" outlineLevel="0" collapsed="false">
      <c r="U314" s="120"/>
      <c r="V314" s="179"/>
      <c r="W314" s="120"/>
      <c r="X314" s="120"/>
    </row>
    <row r="315" customFormat="false" ht="12.75" hidden="false" customHeight="false" outlineLevel="0" collapsed="false">
      <c r="U315" s="120"/>
      <c r="V315" s="179"/>
      <c r="W315" s="120"/>
      <c r="X315" s="120"/>
    </row>
    <row r="316" customFormat="false" ht="12.75" hidden="false" customHeight="false" outlineLevel="0" collapsed="false">
      <c r="U316" s="120"/>
      <c r="V316" s="179"/>
      <c r="W316" s="120"/>
      <c r="X316" s="120"/>
    </row>
    <row r="317" customFormat="false" ht="12.75" hidden="false" customHeight="false" outlineLevel="0" collapsed="false">
      <c r="U317" s="120"/>
      <c r="V317" s="179"/>
      <c r="W317" s="120"/>
      <c r="X317" s="120"/>
    </row>
    <row r="318" customFormat="false" ht="12.75" hidden="false" customHeight="false" outlineLevel="0" collapsed="false">
      <c r="U318" s="120"/>
      <c r="V318" s="179"/>
      <c r="W318" s="120"/>
      <c r="X318" s="120"/>
    </row>
    <row r="319" customFormat="false" ht="12.75" hidden="false" customHeight="false" outlineLevel="0" collapsed="false">
      <c r="U319" s="120"/>
      <c r="V319" s="179"/>
      <c r="W319" s="120"/>
      <c r="X319" s="120"/>
    </row>
    <row r="320" customFormat="false" ht="12.75" hidden="false" customHeight="false" outlineLevel="0" collapsed="false">
      <c r="U320" s="120"/>
      <c r="V320" s="179"/>
      <c r="W320" s="120"/>
      <c r="X320" s="120"/>
    </row>
    <row r="321" customFormat="false" ht="12.75" hidden="false" customHeight="false" outlineLevel="0" collapsed="false">
      <c r="U321" s="120"/>
      <c r="V321" s="179"/>
      <c r="W321" s="120"/>
      <c r="X321" s="120"/>
    </row>
    <row r="322" customFormat="false" ht="12.75" hidden="false" customHeight="false" outlineLevel="0" collapsed="false">
      <c r="U322" s="120"/>
      <c r="V322" s="179"/>
      <c r="W322" s="120"/>
      <c r="X322" s="120"/>
    </row>
    <row r="323" customFormat="false" ht="12.75" hidden="false" customHeight="false" outlineLevel="0" collapsed="false">
      <c r="U323" s="120"/>
      <c r="V323" s="179"/>
      <c r="W323" s="120"/>
      <c r="X323" s="120"/>
    </row>
    <row r="324" customFormat="false" ht="12.75" hidden="false" customHeight="false" outlineLevel="0" collapsed="false">
      <c r="U324" s="120"/>
      <c r="V324" s="179"/>
      <c r="W324" s="120"/>
      <c r="X324" s="120"/>
    </row>
    <row r="325" customFormat="false" ht="12.75" hidden="false" customHeight="false" outlineLevel="0" collapsed="false">
      <c r="U325" s="120"/>
      <c r="V325" s="179"/>
      <c r="W325" s="120"/>
      <c r="X325" s="120"/>
    </row>
    <row r="326" customFormat="false" ht="12.75" hidden="false" customHeight="false" outlineLevel="0" collapsed="false">
      <c r="U326" s="120"/>
      <c r="V326" s="179"/>
      <c r="W326" s="120"/>
      <c r="X326" s="120"/>
    </row>
  </sheetData>
  <mergeCells count="133">
    <mergeCell ref="A1:C1"/>
    <mergeCell ref="B2:C2"/>
    <mergeCell ref="D2:J2"/>
    <mergeCell ref="K2:O2"/>
    <mergeCell ref="E3:J3"/>
    <mergeCell ref="K3:M3"/>
    <mergeCell ref="N3:O3"/>
    <mergeCell ref="K4:M4"/>
    <mergeCell ref="N4:O4"/>
    <mergeCell ref="K5:M5"/>
    <mergeCell ref="N5:O5"/>
    <mergeCell ref="K6:M6"/>
    <mergeCell ref="N6:O6"/>
    <mergeCell ref="K7:M7"/>
    <mergeCell ref="N7:O7"/>
    <mergeCell ref="K8:M8"/>
    <mergeCell ref="N8:O8"/>
    <mergeCell ref="E9:G9"/>
    <mergeCell ref="H9:J9"/>
    <mergeCell ref="K9:M9"/>
    <mergeCell ref="N9:O9"/>
    <mergeCell ref="E10:G10"/>
    <mergeCell ref="H10:J10"/>
    <mergeCell ref="K10:K12"/>
    <mergeCell ref="L10:M10"/>
    <mergeCell ref="N10:O10"/>
    <mergeCell ref="L11:M11"/>
    <mergeCell ref="N11:O11"/>
    <mergeCell ref="L12:M12"/>
    <mergeCell ref="N12:O12"/>
    <mergeCell ref="E13:G13"/>
    <mergeCell ref="H13:J13"/>
    <mergeCell ref="K13:M13"/>
    <mergeCell ref="N13:O13"/>
    <mergeCell ref="E14:G14"/>
    <mergeCell ref="H14:J14"/>
    <mergeCell ref="K14:M14"/>
    <mergeCell ref="N14:O14"/>
    <mergeCell ref="E15:G15"/>
    <mergeCell ref="H15:J15"/>
    <mergeCell ref="K15:O15"/>
    <mergeCell ref="A17:G17"/>
    <mergeCell ref="H17:J17"/>
    <mergeCell ref="K17:P17"/>
    <mergeCell ref="Q17:R17"/>
    <mergeCell ref="A18:A19"/>
    <mergeCell ref="B18:B19"/>
    <mergeCell ref="C18:D19"/>
    <mergeCell ref="E18:E19"/>
    <mergeCell ref="F18:G18"/>
    <mergeCell ref="H18:H19"/>
    <mergeCell ref="I18:I19"/>
    <mergeCell ref="J18:J19"/>
    <mergeCell ref="K18:K19"/>
    <mergeCell ref="L18:L19"/>
    <mergeCell ref="M18:M19"/>
    <mergeCell ref="N18:N19"/>
    <mergeCell ref="P18:P19"/>
    <mergeCell ref="Q18:Q19"/>
    <mergeCell ref="R18:R19"/>
    <mergeCell ref="S18:S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F92:H95"/>
  </mergeCells>
  <conditionalFormatting sqref="N89">
    <cfRule type="cellIs" priority="2" operator="lessThan" aboveAverage="0" equalAverage="0" bottom="0" percent="0" rank="0" text="" dxfId="9">
      <formula>0</formula>
    </cfRule>
    <cfRule type="cellIs" priority="3" operator="greaterThan" aboveAverage="0" equalAverage="0" bottom="0" percent="0" rank="0" text="" dxfId="10">
      <formula>0</formula>
    </cfRule>
  </conditionalFormatting>
  <conditionalFormatting sqref="N13">
    <cfRule type="cellIs" priority="4" operator="lessThan" aboveAverage="0" equalAverage="0" bottom="0" percent="0" rank="0" text="" dxfId="11">
      <formula>0</formula>
    </cfRule>
    <cfRule type="cellIs" priority="5" operator="greaterThan" aboveAverage="0" equalAverage="0" bottom="0" percent="0" rank="0" text="" dxfId="12">
      <formula>0</formula>
    </cfRule>
  </conditionalFormatting>
  <conditionalFormatting sqref="N90">
    <cfRule type="cellIs" priority="6" operator="greaterThan" aboveAverage="0" equalAverage="0" bottom="0" percent="0" rank="0" text="" dxfId="13">
      <formula>0</formula>
    </cfRule>
    <cfRule type="cellIs" priority="7" operator="lessThan" aboveAverage="0" equalAverage="0" bottom="0" percent="0" rank="0" text="" dxfId="14">
      <formula>0</formula>
    </cfRule>
    <cfRule type="cellIs" priority="8" operator="greaterThan" aboveAverage="0" equalAverage="0" bottom="0" percent="0" rank="0" text="" dxfId="15">
      <formula>0</formula>
    </cfRule>
  </conditionalFormatting>
  <conditionalFormatting sqref="N20:N88">
    <cfRule type="cellIs" priority="9" operator="lessThan" aboveAverage="0" equalAverage="0" bottom="0" percent="0" rank="0" text="" dxfId="16">
      <formula>0</formula>
    </cfRule>
    <cfRule type="cellIs" priority="10" operator="greaterThan" aboveAverage="0" equalAverage="0" bottom="0" percent="0" rank="0" text="" dxfId="17">
      <formula>0</formula>
    </cfRule>
  </conditionalFormatting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8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87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90" zoomScalePageLayoutView="85" workbookViewId="0">
      <selection pane="topLeft" activeCell="C91" activeCellId="0" sqref="C91"/>
    </sheetView>
  </sheetViews>
  <sheetFormatPr defaultColWidth="9.1484375" defaultRowHeight="16.5" zeroHeight="false" outlineLevelRow="0" outlineLevelCol="0"/>
  <cols>
    <col collapsed="false" customWidth="true" hidden="false" outlineLevel="0" max="1" min="1" style="180" width="3"/>
    <col collapsed="false" customWidth="true" hidden="false" outlineLevel="0" max="2" min="2" style="181" width="26.86"/>
    <col collapsed="false" customWidth="true" hidden="false" outlineLevel="0" max="3" min="3" style="181" width="44.71"/>
    <col collapsed="false" customWidth="true" hidden="false" outlineLevel="0" max="4" min="4" style="181" width="4"/>
    <col collapsed="false" customWidth="true" hidden="false" outlineLevel="0" max="7" min="5" style="181" width="5"/>
    <col collapsed="false" customWidth="true" hidden="false" outlineLevel="0" max="8" min="8" style="181" width="5.71"/>
    <col collapsed="false" customWidth="true" hidden="false" outlineLevel="0" max="9" min="9" style="181" width="11.29"/>
    <col collapsed="false" customWidth="true" hidden="false" outlineLevel="0" max="10" min="10" style="181" width="12.71"/>
    <col collapsed="false" customWidth="true" hidden="false" outlineLevel="0" max="12" min="11" style="181" width="4.42"/>
    <col collapsed="false" customWidth="false" hidden="false" outlineLevel="0" max="14" min="13" style="181" width="9.14"/>
    <col collapsed="false" customWidth="true" hidden="false" outlineLevel="0" max="15" min="15" style="181" width="25.29"/>
    <col collapsed="false" customWidth="false" hidden="false" outlineLevel="0" max="16384" min="16" style="181" width="9.14"/>
  </cols>
  <sheetData>
    <row r="1" customFormat="false" ht="27" hidden="false" customHeight="true" outlineLevel="0" collapsed="false">
      <c r="A1" s="182" t="s">
        <v>0</v>
      </c>
      <c r="B1" s="182"/>
      <c r="C1" s="182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4"/>
    </row>
    <row r="2" customFormat="false" ht="13.5" hidden="false" customHeight="true" outlineLevel="0" collapsed="false">
      <c r="A2" s="185"/>
      <c r="B2" s="186" t="s">
        <v>4</v>
      </c>
      <c r="C2" s="186" t="str">
        <f aca="false">'Глубина-день'!C3</f>
        <v>ООО "Газпромнефть-Хантос"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</row>
    <row r="3" customFormat="false" ht="13.5" hidden="false" customHeight="true" outlineLevel="0" collapsed="false">
      <c r="A3" s="185"/>
      <c r="B3" s="186" t="s">
        <v>9</v>
      </c>
      <c r="C3" s="186" t="str">
        <f aca="false">'Глубина-день'!C4</f>
        <v>Южно-Приобское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</row>
    <row r="4" customFormat="false" ht="13.5" hidden="false" customHeight="true" outlineLevel="0" collapsed="false">
      <c r="A4" s="185"/>
      <c r="B4" s="186" t="s">
        <v>17</v>
      </c>
      <c r="C4" s="186" t="str">
        <f aca="false">'Глубина-день'!C5</f>
        <v>112А.1</v>
      </c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</row>
    <row r="5" customFormat="false" ht="13.5" hidden="false" customHeight="true" outlineLevel="0" collapsed="false">
      <c r="A5" s="185"/>
      <c r="B5" s="186" t="s">
        <v>20</v>
      </c>
      <c r="C5" s="186" t="n">
        <f aca="false">'Глубина-день'!C6</f>
        <v>46626</v>
      </c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</row>
    <row r="6" customFormat="false" ht="13.5" hidden="false" customHeight="true" outlineLevel="0" collapsed="false">
      <c r="A6" s="185"/>
      <c r="B6" s="186" t="s">
        <v>25</v>
      </c>
      <c r="C6" s="186" t="str">
        <f aca="false">'Глубина-день'!C7</f>
        <v>ГС</v>
      </c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</row>
    <row r="7" customFormat="false" ht="13.5" hidden="false" customHeight="true" outlineLevel="0" collapsed="false">
      <c r="A7" s="185"/>
      <c r="B7" s="186" t="s">
        <v>166</v>
      </c>
      <c r="C7" s="186" t="str">
        <f aca="false">IF('Глубина-день'!C8="","",'Глубина-день'!C8)</f>
        <v>Тырин Владимир Олегович</v>
      </c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</row>
    <row r="8" customFormat="false" ht="13.5" hidden="false" customHeight="true" outlineLevel="0" collapsed="false">
      <c r="A8" s="185"/>
      <c r="B8" s="186"/>
      <c r="C8" s="186" t="str">
        <f aca="false">IF('Глубина-день'!C9="","",'Глубина-день'!C9)</f>
        <v/>
      </c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</row>
    <row r="9" customFormat="false" ht="13.5" hidden="false" customHeight="true" outlineLevel="0" collapsed="false">
      <c r="A9" s="185"/>
      <c r="B9" s="186"/>
      <c r="C9" s="186" t="str">
        <f aca="false">IF('Глубина-день'!C10="","",'Глубина-день'!C10)</f>
        <v/>
      </c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</row>
    <row r="10" customFormat="false" ht="13.5" hidden="false" customHeight="true" outlineLevel="0" collapsed="false">
      <c r="A10" s="185"/>
      <c r="B10" s="187" t="s">
        <v>167</v>
      </c>
      <c r="C10" s="188" t="e">
        <f aca="false">IF('глубина-день'!#ref!="","",'глубина-день'!#ref!)</f>
        <v>#VALUE!</v>
      </c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</row>
    <row r="11" customFormat="false" ht="17.25" hidden="false" customHeight="true" outlineLevel="0" collapsed="false">
      <c r="A11" s="189" t="str">
        <f aca="false">'Глубина-день'!A17:E17</f>
        <v>Операции</v>
      </c>
      <c r="B11" s="189"/>
      <c r="C11" s="189"/>
      <c r="D11" s="189"/>
      <c r="E11" s="190" t="e">
        <f aca="false">'Глубина-день'!F17:R17</f>
        <v>#VALUE!</v>
      </c>
      <c r="F11" s="190"/>
      <c r="G11" s="190"/>
      <c r="H11" s="190"/>
      <c r="I11" s="190"/>
      <c r="J11" s="190"/>
      <c r="K11" s="190"/>
      <c r="L11" s="190"/>
      <c r="M11" s="190" t="n">
        <f aca="false">'Глубина-день'!K17:P17</f>
        <v>0</v>
      </c>
      <c r="N11" s="190"/>
      <c r="O11" s="190"/>
      <c r="P11" s="180"/>
      <c r="Q11" s="180"/>
      <c r="R11" s="180"/>
      <c r="S11" s="180"/>
      <c r="W11" s="180"/>
      <c r="X11" s="180"/>
      <c r="Y11" s="180"/>
      <c r="Z11" s="180"/>
      <c r="AA11" s="180"/>
      <c r="AB11" s="180"/>
      <c r="AC11" s="180"/>
      <c r="AD11" s="180"/>
    </row>
    <row r="12" customFormat="false" ht="42" hidden="false" customHeight="true" outlineLevel="0" collapsed="false">
      <c r="A12" s="191" t="s">
        <v>44</v>
      </c>
      <c r="B12" s="192" t="s">
        <v>42</v>
      </c>
      <c r="C12" s="192" t="s">
        <v>45</v>
      </c>
      <c r="D12" s="193" t="s">
        <v>11</v>
      </c>
      <c r="E12" s="194" t="s">
        <v>168</v>
      </c>
      <c r="F12" s="195" t="s">
        <v>169</v>
      </c>
      <c r="G12" s="196" t="s">
        <v>36</v>
      </c>
      <c r="H12" s="191" t="s">
        <v>7</v>
      </c>
      <c r="I12" s="197" t="s">
        <v>49</v>
      </c>
      <c r="J12" s="191" t="s">
        <v>170</v>
      </c>
      <c r="K12" s="191" t="s">
        <v>171</v>
      </c>
      <c r="L12" s="191" t="s">
        <v>172</v>
      </c>
      <c r="M12" s="198" t="s">
        <v>7</v>
      </c>
      <c r="N12" s="198" t="s">
        <v>173</v>
      </c>
      <c r="O12" s="198" t="s">
        <v>54</v>
      </c>
      <c r="P12" s="180"/>
      <c r="Q12" s="180"/>
      <c r="R12" s="180"/>
      <c r="S12" s="180"/>
      <c r="W12" s="180"/>
      <c r="X12" s="180"/>
      <c r="Y12" s="180"/>
      <c r="Z12" s="180"/>
      <c r="AA12" s="180"/>
      <c r="AB12" s="180"/>
      <c r="AC12" s="180"/>
      <c r="AD12" s="180"/>
    </row>
    <row r="13" customFormat="false" ht="12" hidden="false" customHeight="true" outlineLevel="0" collapsed="false">
      <c r="A13" s="199" t="n">
        <f aca="false">IF('Глубина-день'!A20="","",'Глубина-день'!A20)</f>
        <v>1</v>
      </c>
      <c r="B13" s="200" t="str">
        <f aca="false">IF('Глубина-день'!B20="","",'Глубина-день'!B20)</f>
        <v>КНБК</v>
      </c>
      <c r="C13" s="200" t="str">
        <f aca="false">IF('Глубина-день'!C20="","",'Глубина-день'!C20)</f>
        <v>Сборка роторной КНБК</v>
      </c>
      <c r="D13" s="199" t="n">
        <f aca="false">IF('Глубина-день'!E20="","",'Глубина-день'!E20)</f>
        <v>324</v>
      </c>
      <c r="E13" s="201" t="n">
        <f aca="false">IF('Глубина-день'!F20="","",'Глубина-день'!F20)</f>
        <v>0</v>
      </c>
      <c r="F13" s="202" t="str">
        <f aca="false">IF('Глубина-день'!G20="","",'Глубина-день'!G20)</f>
        <v/>
      </c>
      <c r="G13" s="199" t="e">
        <f aca="false">IF('глубина-день'!#ref!="","",'глубина-день'!#ref!)</f>
        <v>#VALUE!</v>
      </c>
      <c r="H13" s="199" t="n">
        <f aca="false">IF('Глубина-день'!H20="","",'Глубина-день'!H20)</f>
        <v>0</v>
      </c>
      <c r="I13" s="199" t="n">
        <f aca="false">IF('Глубина-день'!I20="","",'Глубина-день'!I20)</f>
        <v>0.5</v>
      </c>
      <c r="J13" s="203" t="n">
        <f aca="false">IF('Глубина-день'!J20="","",'Глубина-день'!J20)</f>
        <v>45489.2291666667</v>
      </c>
      <c r="K13" s="199" t="n">
        <f aca="false">IF('Глубина-день'!R20="","",'Глубина-день'!R20)</f>
        <v>0.5</v>
      </c>
      <c r="L13" s="204" t="e">
        <f aca="false">IF('глубина-день'!#ref!="","",'глубина-день'!#ref!)</f>
        <v>#VALUE!</v>
      </c>
      <c r="M13" s="205"/>
      <c r="N13" s="199"/>
      <c r="O13" s="206"/>
      <c r="P13" s="180"/>
      <c r="Q13" s="180"/>
      <c r="R13" s="180"/>
      <c r="S13" s="180"/>
      <c r="W13" s="180"/>
      <c r="X13" s="180"/>
      <c r="Y13" s="180"/>
      <c r="Z13" s="180"/>
      <c r="AA13" s="180"/>
      <c r="AB13" s="180"/>
      <c r="AC13" s="180"/>
      <c r="AD13" s="180"/>
    </row>
    <row r="14" customFormat="false" ht="12" hidden="false" customHeight="true" outlineLevel="0" collapsed="false">
      <c r="A14" s="199" t="n">
        <f aca="false">IF('Глубина-день'!A21="","",'Глубина-день'!A21)</f>
        <v>2</v>
      </c>
      <c r="B14" s="200" t="str">
        <f aca="false">IF('Глубина-день'!B21="","",'Глубина-день'!B21)</f>
        <v>Бурение</v>
      </c>
      <c r="C14" s="200" t="str">
        <f aca="false">IF('Глубина-день'!C21="","",'Глубина-день'!C21)</f>
        <v>Бурение под направление</v>
      </c>
      <c r="D14" s="199" t="n">
        <f aca="false">IF('Глубина-день'!E21="","",'Глубина-день'!E21)</f>
        <v>324</v>
      </c>
      <c r="E14" s="201" t="n">
        <f aca="false">IF('Глубина-день'!F21="","",'Глубина-день'!F21)</f>
        <v>0</v>
      </c>
      <c r="F14" s="202" t="n">
        <f aca="false">IF('Глубина-день'!G21="","",'Глубина-день'!G21)</f>
        <v>80</v>
      </c>
      <c r="G14" s="199" t="e">
        <f aca="false">IF('глубина-день'!#ref!="","",'глубина-день'!#ref!)</f>
        <v>#VALUE!</v>
      </c>
      <c r="H14" s="199" t="n">
        <f aca="false">IF('Глубина-день'!H21="","",'Глубина-день'!H21)</f>
        <v>80</v>
      </c>
      <c r="I14" s="199" t="n">
        <f aca="false">IF('Глубина-день'!I21="","",'Глубина-день'!I21)</f>
        <v>2</v>
      </c>
      <c r="J14" s="203" t="n">
        <f aca="false">IF('Глубина-день'!J21="","",'Глубина-день'!J21)</f>
        <v>45489.3125</v>
      </c>
      <c r="K14" s="199" t="n">
        <f aca="false">IF('Глубина-день'!R21="","",'Глубина-день'!R21)</f>
        <v>2</v>
      </c>
      <c r="L14" s="204" t="e">
        <f aca="false">IF('глубина-день'!#ref!="","",'глубина-день'!#ref!)</f>
        <v>#VALUE!</v>
      </c>
      <c r="M14" s="205"/>
      <c r="N14" s="199"/>
      <c r="O14" s="206"/>
      <c r="P14" s="180"/>
      <c r="Q14" s="180"/>
      <c r="R14" s="180"/>
      <c r="S14" s="180"/>
      <c r="W14" s="180"/>
      <c r="X14" s="180"/>
      <c r="Y14" s="180"/>
      <c r="Z14" s="180"/>
      <c r="AA14" s="180"/>
      <c r="AB14" s="180"/>
      <c r="AC14" s="180"/>
      <c r="AD14" s="180"/>
    </row>
    <row r="15" customFormat="false" ht="12" hidden="false" customHeight="true" outlineLevel="0" collapsed="false">
      <c r="A15" s="199" t="n">
        <f aca="false">IF('Глубина-день'!A22="","",'Глубина-день'!A22)</f>
        <v>3</v>
      </c>
      <c r="B15" s="200" t="str">
        <f aca="false">IF('Глубина-день'!B22="","",'Глубина-день'!B22)</f>
        <v>Шаблонирование / проработка</v>
      </c>
      <c r="C15" s="200" t="str">
        <f aca="false">IF('Глубина-день'!C22="","",'Глубина-день'!C22)</f>
        <v>Шаблонировка пробуренного интервала + промывка на забое+ подъем КНБК</v>
      </c>
      <c r="D15" s="199" t="n">
        <f aca="false">IF('Глубина-день'!E22="","",'Глубина-день'!E22)</f>
        <v>324</v>
      </c>
      <c r="E15" s="201" t="n">
        <f aca="false">IF('Глубина-день'!F22="","",'Глубина-день'!F22)</f>
        <v>0</v>
      </c>
      <c r="F15" s="202" t="n">
        <f aca="false">IF('Глубина-день'!G22="","",'Глубина-день'!G22)</f>
        <v>80</v>
      </c>
      <c r="G15" s="199" t="e">
        <f aca="false">IF('глубина-день'!#ref!="","",'глубина-день'!#ref!)</f>
        <v>#VALUE!</v>
      </c>
      <c r="H15" s="199" t="n">
        <f aca="false">IF('Глубина-день'!H22="","",'Глубина-день'!H22)</f>
        <v>80</v>
      </c>
      <c r="I15" s="199" t="n">
        <f aca="false">IF('Глубина-день'!I22="","",'Глубина-день'!I22)</f>
        <v>1</v>
      </c>
      <c r="J15" s="203" t="n">
        <f aca="false">IF('Глубина-день'!J22="","",'Глубина-день'!J22)</f>
        <v>45489.3541666667</v>
      </c>
      <c r="K15" s="199" t="n">
        <f aca="false">IF('Глубина-день'!R22="","",'Глубина-день'!R22)</f>
        <v>1</v>
      </c>
      <c r="L15" s="204" t="e">
        <f aca="false">IF('глубина-день'!#ref!="","",'глубина-день'!#ref!)</f>
        <v>#VALUE!</v>
      </c>
      <c r="M15" s="205"/>
      <c r="N15" s="199"/>
      <c r="O15" s="206"/>
      <c r="P15" s="180"/>
      <c r="Q15" s="180"/>
      <c r="R15" s="180"/>
      <c r="S15" s="180"/>
      <c r="W15" s="180"/>
      <c r="X15" s="180"/>
      <c r="Y15" s="180"/>
      <c r="Z15" s="180"/>
      <c r="AA15" s="180"/>
      <c r="AB15" s="180"/>
      <c r="AC15" s="180"/>
      <c r="AD15" s="180"/>
    </row>
    <row r="16" customFormat="false" ht="12" hidden="false" customHeight="true" outlineLevel="0" collapsed="false">
      <c r="A16" s="199" t="n">
        <f aca="false">IF('Глубина-день'!A23="","",'Глубина-день'!A23)</f>
        <v>4</v>
      </c>
      <c r="B16" s="200" t="str">
        <f aca="false">IF('Глубина-день'!B23="","",'Глубина-день'!B23)</f>
        <v>КНБК</v>
      </c>
      <c r="C16" s="200" t="str">
        <f aca="false">IF('Глубина-день'!C23="","",'Глубина-день'!C23)</f>
        <v>Разборка КНБК</v>
      </c>
      <c r="D16" s="199" t="n">
        <f aca="false">IF('Глубина-день'!E23="","",'Глубина-день'!E23)</f>
        <v>324</v>
      </c>
      <c r="E16" s="201" t="str">
        <f aca="false">IF('Глубина-день'!F23="","",'Глубина-день'!F23)</f>
        <v/>
      </c>
      <c r="F16" s="202" t="str">
        <f aca="false">IF('Глубина-день'!G23="","",'Глубина-день'!G23)</f>
        <v/>
      </c>
      <c r="G16" s="199" t="e">
        <f aca="false">IF('глубина-день'!#ref!="","",'глубина-день'!#ref!)</f>
        <v>#VALUE!</v>
      </c>
      <c r="H16" s="199" t="n">
        <f aca="false">IF('Глубина-день'!H23="","",'Глубина-день'!H23)</f>
        <v>80</v>
      </c>
      <c r="I16" s="199" t="n">
        <f aca="false">IF('Глубина-день'!I23="","",'Глубина-день'!I23)</f>
        <v>0.5</v>
      </c>
      <c r="J16" s="203" t="n">
        <f aca="false">IF('Глубина-день'!J23="","",'Глубина-день'!J23)</f>
        <v>45489.375</v>
      </c>
      <c r="K16" s="199" t="n">
        <f aca="false">IF('Глубина-день'!R23="","",'Глубина-день'!R23)</f>
        <v>0.5</v>
      </c>
      <c r="L16" s="204" t="e">
        <f aca="false">IF('глубина-день'!#ref!="","",'глубина-день'!#ref!)</f>
        <v>#VALUE!</v>
      </c>
      <c r="M16" s="205"/>
      <c r="N16" s="199"/>
      <c r="O16" s="206"/>
      <c r="P16" s="180"/>
      <c r="Q16" s="180"/>
      <c r="R16" s="180"/>
      <c r="S16" s="180"/>
      <c r="W16" s="180"/>
      <c r="X16" s="180"/>
      <c r="Y16" s="180"/>
      <c r="Z16" s="180"/>
      <c r="AA16" s="180"/>
      <c r="AB16" s="180"/>
      <c r="AC16" s="180"/>
      <c r="AD16" s="180"/>
    </row>
    <row r="17" customFormat="false" ht="12" hidden="false" customHeight="true" outlineLevel="0" collapsed="false">
      <c r="A17" s="199" t="n">
        <f aca="false">IF('Глубина-день'!A24="","",'Глубина-день'!A24)</f>
        <v>5</v>
      </c>
      <c r="B17" s="200" t="str">
        <f aca="false">IF('Глубина-день'!B24="","",'Глубина-день'!B24)</f>
        <v>Подготовительные работы</v>
      </c>
      <c r="C17" s="200" t="str">
        <f aca="false">IF('Глубина-день'!C24="","",'Глубина-день'!C24)</f>
        <v>ПР к спуску направления 324мм</v>
      </c>
      <c r="D17" s="199" t="n">
        <f aca="false">IF('Глубина-день'!E24="","",'Глубина-день'!E24)</f>
        <v>324</v>
      </c>
      <c r="E17" s="201" t="str">
        <f aca="false">IF('Глубина-день'!F24="","",'Глубина-день'!F24)</f>
        <v/>
      </c>
      <c r="F17" s="202" t="str">
        <f aca="false">IF('Глубина-день'!G24="","",'Глубина-день'!G24)</f>
        <v/>
      </c>
      <c r="G17" s="199" t="e">
        <f aca="false">IF('глубина-день'!#ref!="","",'глубина-день'!#ref!)</f>
        <v>#VALUE!</v>
      </c>
      <c r="H17" s="199" t="n">
        <f aca="false">IF('Глубина-день'!H24="","",'Глубина-день'!H24)</f>
        <v>80</v>
      </c>
      <c r="I17" s="199" t="n">
        <f aca="false">IF('Глубина-день'!I24="","",'Глубина-день'!I24)</f>
        <v>1</v>
      </c>
      <c r="J17" s="203" t="n">
        <f aca="false">IF('Глубина-день'!J24="","",'Глубина-день'!J24)</f>
        <v>45489.4166666667</v>
      </c>
      <c r="K17" s="199" t="n">
        <f aca="false">IF('Глубина-день'!R24="","",'Глубина-день'!R24)</f>
        <v>1</v>
      </c>
      <c r="L17" s="204" t="e">
        <f aca="false">IF('глубина-день'!#ref!="","",'глубина-день'!#ref!)</f>
        <v>#VALUE!</v>
      </c>
      <c r="M17" s="205"/>
      <c r="N17" s="199"/>
      <c r="O17" s="206"/>
      <c r="P17" s="180"/>
      <c r="Q17" s="180"/>
      <c r="R17" s="180"/>
      <c r="S17" s="180"/>
      <c r="W17" s="180"/>
      <c r="X17" s="180"/>
      <c r="Y17" s="180"/>
      <c r="Z17" s="180"/>
      <c r="AA17" s="180"/>
      <c r="AB17" s="180"/>
      <c r="AC17" s="180"/>
      <c r="AD17" s="180"/>
    </row>
    <row r="18" customFormat="false" ht="12" hidden="false" customHeight="true" outlineLevel="0" collapsed="false">
      <c r="A18" s="199" t="n">
        <f aca="false">IF('Глубина-день'!A25="","",'Глубина-день'!A25)</f>
        <v>6</v>
      </c>
      <c r="B18" s="200" t="str">
        <f aca="false">IF('Глубина-день'!B25="","",'Глубина-день'!B25)</f>
        <v>Крепление</v>
      </c>
      <c r="C18" s="200" t="str">
        <f aca="false">IF('Глубина-день'!C25="","",'Глубина-день'!C25)</f>
        <v>Спуск направления 324мм</v>
      </c>
      <c r="D18" s="199" t="n">
        <f aca="false">IF('Глубина-день'!E25="","",'Глубина-день'!E25)</f>
        <v>324</v>
      </c>
      <c r="E18" s="201" t="n">
        <f aca="false">IF('Глубина-день'!F25="","",'Глубина-день'!F25)</f>
        <v>0</v>
      </c>
      <c r="F18" s="202" t="n">
        <f aca="false">IF('Глубина-день'!G25="","",'Глубина-день'!G25)</f>
        <v>80</v>
      </c>
      <c r="G18" s="199" t="e">
        <f aca="false">IF('глубина-день'!#ref!="","",'глубина-день'!#ref!)</f>
        <v>#VALUE!</v>
      </c>
      <c r="H18" s="199" t="n">
        <f aca="false">IF('Глубина-день'!H25="","",'Глубина-день'!H25)</f>
        <v>80</v>
      </c>
      <c r="I18" s="199" t="n">
        <f aca="false">IF('Глубина-день'!I25="","",'Глубина-день'!I25)</f>
        <v>2</v>
      </c>
      <c r="J18" s="203" t="n">
        <f aca="false">IF('Глубина-день'!J25="","",'Глубина-день'!J25)</f>
        <v>45489.5</v>
      </c>
      <c r="K18" s="199" t="n">
        <f aca="false">IF('Глубина-день'!R25="","",'Глубина-день'!R25)</f>
        <v>2</v>
      </c>
      <c r="L18" s="204" t="e">
        <f aca="false">IF('глубина-день'!#ref!="","",'глубина-день'!#ref!)</f>
        <v>#VALUE!</v>
      </c>
      <c r="M18" s="205"/>
      <c r="N18" s="199"/>
      <c r="O18" s="206"/>
      <c r="P18" s="180"/>
      <c r="Q18" s="180"/>
      <c r="R18" s="180"/>
      <c r="S18" s="180"/>
      <c r="W18" s="180"/>
      <c r="X18" s="180"/>
      <c r="Y18" s="180"/>
      <c r="Z18" s="180"/>
      <c r="AA18" s="180"/>
      <c r="AB18" s="180"/>
      <c r="AC18" s="180"/>
      <c r="AD18" s="180"/>
    </row>
    <row r="19" customFormat="false" ht="12" hidden="false" customHeight="true" outlineLevel="0" collapsed="false">
      <c r="A19" s="199" t="n">
        <f aca="false">IF('Глубина-день'!A26="","",'Глубина-день'!A26)</f>
        <v>7</v>
      </c>
      <c r="B19" s="200" t="str">
        <f aca="false">IF('Глубина-день'!B26="","",'Глубина-день'!B26)</f>
        <v>Циркуляция и Обработка БР</v>
      </c>
      <c r="C19" s="200" t="str">
        <f aca="false">IF('Глубина-день'!C26="","",'Глубина-день'!C26)</f>
        <v>Промывка перед цементажем</v>
      </c>
      <c r="D19" s="199" t="n">
        <f aca="false">IF('Глубина-день'!E26="","",'Глубина-день'!E26)</f>
        <v>324</v>
      </c>
      <c r="E19" s="201" t="str">
        <f aca="false">IF('Глубина-день'!F26="","",'Глубина-день'!F26)</f>
        <v/>
      </c>
      <c r="F19" s="202" t="str">
        <f aca="false">IF('Глубина-день'!G26="","",'Глубина-день'!G26)</f>
        <v/>
      </c>
      <c r="G19" s="199" t="e">
        <f aca="false">IF('глубина-день'!#ref!="","",'глубина-день'!#ref!)</f>
        <v>#VALUE!</v>
      </c>
      <c r="H19" s="199" t="n">
        <f aca="false">IF('Глубина-день'!H26="","",'Глубина-день'!H26)</f>
        <v>80</v>
      </c>
      <c r="I19" s="199" t="n">
        <f aca="false">IF('Глубина-день'!I26="","",'Глубина-день'!I26)</f>
        <v>0.5</v>
      </c>
      <c r="J19" s="203" t="n">
        <f aca="false">IF('Глубина-день'!J26="","",'Глубина-день'!J26)</f>
        <v>45489.5208333333</v>
      </c>
      <c r="K19" s="199" t="n">
        <f aca="false">IF('Глубина-день'!R26="","",'Глубина-день'!R26)</f>
        <v>0.5</v>
      </c>
      <c r="L19" s="204" t="e">
        <f aca="false">IF('глубина-день'!#ref!="","",'глубина-день'!#ref!)</f>
        <v>#VALUE!</v>
      </c>
      <c r="M19" s="205"/>
      <c r="N19" s="199"/>
      <c r="O19" s="206"/>
      <c r="P19" s="180"/>
      <c r="Q19" s="180"/>
      <c r="R19" s="180"/>
      <c r="S19" s="180"/>
      <c r="W19" s="180"/>
      <c r="X19" s="180"/>
      <c r="Y19" s="180"/>
      <c r="Z19" s="180"/>
      <c r="AA19" s="180"/>
      <c r="AB19" s="180"/>
      <c r="AC19" s="180"/>
      <c r="AD19" s="180"/>
    </row>
    <row r="20" customFormat="false" ht="12" hidden="false" customHeight="true" outlineLevel="0" collapsed="false">
      <c r="A20" s="199" t="n">
        <f aca="false">IF('Глубина-день'!A27="","",'Глубина-день'!A27)</f>
        <v>8</v>
      </c>
      <c r="B20" s="200" t="str">
        <f aca="false">IF('Глубина-день'!B27="","",'Глубина-день'!B27)</f>
        <v>Крепление</v>
      </c>
      <c r="C20" s="200" t="str">
        <f aca="false">IF('Глубина-день'!C27="","",'Глубина-день'!C27)</f>
        <v>Цементаж направления 324мм</v>
      </c>
      <c r="D20" s="199" t="n">
        <f aca="false">IF('Глубина-день'!E27="","",'Глубина-день'!E27)</f>
        <v>324</v>
      </c>
      <c r="E20" s="201" t="str">
        <f aca="false">IF('Глубина-день'!F27="","",'Глубина-день'!F27)</f>
        <v/>
      </c>
      <c r="F20" s="202" t="str">
        <f aca="false">IF('Глубина-день'!G27="","",'Глубина-день'!G27)</f>
        <v/>
      </c>
      <c r="G20" s="199" t="e">
        <f aca="false">IF('глубина-день'!#ref!="","",'глубина-день'!#ref!)</f>
        <v>#VALUE!</v>
      </c>
      <c r="H20" s="199" t="n">
        <f aca="false">IF('Глубина-день'!H27="","",'Глубина-день'!H27)</f>
        <v>80</v>
      </c>
      <c r="I20" s="199" t="n">
        <f aca="false">IF('Глубина-день'!I27="","",'Глубина-день'!I27)</f>
        <v>1.5</v>
      </c>
      <c r="J20" s="203" t="n">
        <f aca="false">IF('Глубина-день'!J27="","",'Глубина-день'!J27)</f>
        <v>45489.5833333333</v>
      </c>
      <c r="K20" s="199" t="n">
        <f aca="false">IF('Глубина-день'!R27="","",'Глубина-день'!R27)</f>
        <v>1.5</v>
      </c>
      <c r="L20" s="204" t="e">
        <f aca="false">IF('глубина-день'!#ref!="","",'глубина-день'!#ref!)</f>
        <v>#VALUE!</v>
      </c>
      <c r="M20" s="205"/>
      <c r="N20" s="199"/>
      <c r="O20" s="206"/>
      <c r="P20" s="180"/>
      <c r="Q20" s="180"/>
      <c r="R20" s="180"/>
      <c r="S20" s="180"/>
      <c r="W20" s="180"/>
      <c r="X20" s="180"/>
      <c r="Y20" s="180"/>
      <c r="Z20" s="180"/>
      <c r="AA20" s="180"/>
      <c r="AB20" s="180"/>
      <c r="AC20" s="180"/>
      <c r="AD20" s="180"/>
    </row>
    <row r="21" customFormat="false" ht="12" hidden="false" customHeight="true" outlineLevel="0" collapsed="false">
      <c r="A21" s="199" t="e">
        <f aca="false">IF('глубина-день'!#ref!="","",'глубина-день'!#ref!)</f>
        <v>#VALUE!</v>
      </c>
      <c r="B21" s="200" t="e">
        <f aca="false">IF('глубина-день'!#ref!="","",'глубина-день'!#ref!)</f>
        <v>#VALUE!</v>
      </c>
      <c r="C21" s="200" t="e">
        <f aca="false">IF('глубина-день'!#ref!="","",'глубина-день'!#ref!)</f>
        <v>#VALUE!</v>
      </c>
      <c r="D21" s="199" t="e">
        <f aca="false">IF('глубина-день'!#ref!="","",'глубина-день'!#ref!)</f>
        <v>#VALUE!</v>
      </c>
      <c r="E21" s="201" t="e">
        <f aca="false">IF('глубина-день'!#ref!="","",'глубина-день'!#ref!)</f>
        <v>#VALUE!</v>
      </c>
      <c r="F21" s="202" t="e">
        <f aca="false">IF('глубина-день'!#ref!="","",'глубина-день'!#ref!)</f>
        <v>#VALUE!</v>
      </c>
      <c r="G21" s="199" t="e">
        <f aca="false">IF('глубина-день'!#ref!="","",'глубина-день'!#ref!)</f>
        <v>#VALUE!</v>
      </c>
      <c r="H21" s="199" t="e">
        <f aca="false">IF('глубина-день'!#ref!="","",'глубина-день'!#ref!)</f>
        <v>#VALUE!</v>
      </c>
      <c r="I21" s="199" t="e">
        <f aca="false">IF('глубина-день'!#ref!="","",'глубина-день'!#ref!)</f>
        <v>#VALUE!</v>
      </c>
      <c r="J21" s="203" t="e">
        <f aca="false">IF('глубина-день'!#ref!="","",'глубина-день'!#ref!)</f>
        <v>#VALUE!</v>
      </c>
      <c r="K21" s="199" t="e">
        <f aca="false">IF('глубина-день'!#ref!="","",'глубина-день'!#ref!)</f>
        <v>#VALUE!</v>
      </c>
      <c r="L21" s="204" t="e">
        <f aca="false">IF('глубина-день'!#ref!="","",'глубина-день'!#ref!)</f>
        <v>#VALUE!</v>
      </c>
      <c r="M21" s="205"/>
      <c r="N21" s="199"/>
      <c r="O21" s="206"/>
      <c r="P21" s="180"/>
      <c r="Q21" s="180"/>
      <c r="R21" s="180"/>
      <c r="S21" s="180"/>
      <c r="W21" s="180"/>
      <c r="X21" s="180"/>
      <c r="Y21" s="180"/>
      <c r="Z21" s="180"/>
      <c r="AA21" s="180"/>
      <c r="AB21" s="180"/>
      <c r="AC21" s="180"/>
      <c r="AD21" s="180"/>
    </row>
    <row r="22" customFormat="false" ht="12" hidden="false" customHeight="true" outlineLevel="0" collapsed="false">
      <c r="A22" s="199" t="n">
        <f aca="false">IF('Глубина-день'!A30="","",'Глубина-день'!A30)</f>
        <v>11</v>
      </c>
      <c r="B22" s="200" t="str">
        <f aca="false">IF('Глубина-день'!B30="","",'Глубина-день'!B30)</f>
        <v>КНБК</v>
      </c>
      <c r="C22" s="200" t="str">
        <f aca="false">IF('Глубина-день'!C30="","",'Глубина-день'!C30)</f>
        <v>Сборка КНБК для бурения</v>
      </c>
      <c r="D22" s="199" t="n">
        <f aca="false">IF('Глубина-день'!E30="","",'Глубина-день'!E30)</f>
        <v>244.5</v>
      </c>
      <c r="E22" s="201" t="str">
        <f aca="false">IF('Глубина-день'!F30="","",'Глубина-день'!F30)</f>
        <v/>
      </c>
      <c r="F22" s="202" t="str">
        <f aca="false">IF('Глубина-день'!G30="","",'Глубина-день'!G30)</f>
        <v/>
      </c>
      <c r="G22" s="199" t="e">
        <f aca="false">IF('глубина-день'!#ref!="","",'глубина-день'!#ref!)</f>
        <v>#VALUE!</v>
      </c>
      <c r="H22" s="199" t="n">
        <f aca="false">IF('Глубина-день'!H30="","",'Глубина-день'!H30)</f>
        <v>80</v>
      </c>
      <c r="I22" s="199" t="n">
        <f aca="false">IF('Глубина-день'!I30="","",'Глубина-день'!I30)</f>
        <v>3</v>
      </c>
      <c r="J22" s="203" t="n">
        <f aca="false">IF('Глубина-день'!J30="","",'Глубина-день'!J30)</f>
        <v>45490.5416666667</v>
      </c>
      <c r="K22" s="199" t="n">
        <f aca="false">IF('Глубина-день'!R30="","",'Глубина-день'!R30)</f>
        <v>3</v>
      </c>
      <c r="L22" s="204" t="e">
        <f aca="false">IF('глубина-день'!#ref!="","",'глубина-день'!#ref!)</f>
        <v>#VALUE!</v>
      </c>
      <c r="M22" s="205"/>
      <c r="N22" s="199"/>
      <c r="O22" s="206"/>
      <c r="P22" s="180"/>
      <c r="Q22" s="180"/>
      <c r="R22" s="180"/>
      <c r="S22" s="180"/>
      <c r="W22" s="180"/>
      <c r="X22" s="180"/>
      <c r="Y22" s="180"/>
      <c r="Z22" s="180"/>
      <c r="AA22" s="180"/>
      <c r="AB22" s="180"/>
      <c r="AC22" s="180"/>
      <c r="AD22" s="180"/>
    </row>
    <row r="23" customFormat="false" ht="12" hidden="false" customHeight="true" outlineLevel="0" collapsed="false">
      <c r="A23" s="199" t="n">
        <f aca="false">IF('Глубина-день'!A31="","",'Глубина-день'!A31)</f>
        <v>12</v>
      </c>
      <c r="B23" s="200" t="str">
        <f aca="false">IF('Глубина-день'!B31="","",'Глубина-день'!B31)</f>
        <v>СПО</v>
      </c>
      <c r="C23" s="200" t="str">
        <f aca="false">IF('Глубина-день'!C31="","",'Глубина-день'!C31)</f>
        <v>Cпуск КНБК со сборкой БИ с мостков</v>
      </c>
      <c r="D23" s="199" t="n">
        <f aca="false">IF('Глубина-день'!E31="","",'Глубина-день'!E31)</f>
        <v>244.5</v>
      </c>
      <c r="E23" s="201" t="n">
        <f aca="false">IF('Глубина-день'!F31="","",'Глубина-день'!F31)</f>
        <v>0</v>
      </c>
      <c r="F23" s="202" t="n">
        <f aca="false">IF('Глубина-день'!G31="","",'Глубина-день'!G31)</f>
        <v>80</v>
      </c>
      <c r="G23" s="199" t="e">
        <f aca="false">IF('глубина-день'!#ref!="","",'глубина-день'!#ref!)</f>
        <v>#VALUE!</v>
      </c>
      <c r="H23" s="199" t="n">
        <f aca="false">IF('Глубина-день'!H31="","",'Глубина-день'!H31)</f>
        <v>80</v>
      </c>
      <c r="I23" s="199" t="n">
        <f aca="false">IF('Глубина-день'!I31="","",'Глубина-день'!I31)</f>
        <v>0.5</v>
      </c>
      <c r="J23" s="203" t="n">
        <f aca="false">IF('Глубина-день'!J31="","",'Глубина-день'!J31)</f>
        <v>45490.5625</v>
      </c>
      <c r="K23" s="199" t="n">
        <f aca="false">IF('Глубина-день'!R31="","",'Глубина-день'!R31)</f>
        <v>0.5</v>
      </c>
      <c r="L23" s="204" t="e">
        <f aca="false">IF('глубина-день'!#ref!="","",'глубина-день'!#ref!)</f>
        <v>#VALUE!</v>
      </c>
      <c r="M23" s="205"/>
      <c r="N23" s="199"/>
      <c r="O23" s="206"/>
      <c r="P23" s="180"/>
      <c r="Q23" s="180"/>
      <c r="R23" s="180"/>
      <c r="S23" s="180"/>
      <c r="W23" s="180"/>
      <c r="X23" s="180"/>
      <c r="Y23" s="180"/>
      <c r="Z23" s="180"/>
      <c r="AA23" s="180"/>
      <c r="AB23" s="180"/>
      <c r="AC23" s="180"/>
      <c r="AD23" s="180"/>
    </row>
    <row r="24" customFormat="false" ht="12" hidden="false" customHeight="true" outlineLevel="0" collapsed="false">
      <c r="A24" s="199" t="n">
        <f aca="false">IF('Глубина-день'!A32="","",'Глубина-день'!A32)</f>
        <v>13</v>
      </c>
      <c r="B24" s="200" t="str">
        <f aca="false">IF('Глубина-день'!B32="","",'Глубина-день'!B32)</f>
        <v>Бурение</v>
      </c>
      <c r="C24" s="200" t="str">
        <f aca="false">IF('Глубина-день'!C32="","",'Глубина-день'!C32)</f>
        <v>Разбурка оснастки (ЦКОД, цем.стакан, БК), замена раствора</v>
      </c>
      <c r="D24" s="199" t="n">
        <f aca="false">IF('Глубина-день'!E32="","",'Глубина-день'!E32)</f>
        <v>244.5</v>
      </c>
      <c r="E24" s="201" t="n">
        <f aca="false">IF('Глубина-день'!F32="","",'Глубина-день'!F32)</f>
        <v>75</v>
      </c>
      <c r="F24" s="202" t="n">
        <f aca="false">IF('Глубина-день'!G32="","",'Глубина-день'!G32)</f>
        <v>81</v>
      </c>
      <c r="G24" s="199" t="e">
        <f aca="false">IF('глубина-день'!#ref!="","",'глубина-день'!#ref!)</f>
        <v>#VALUE!</v>
      </c>
      <c r="H24" s="199" t="n">
        <f aca="false">IF('Глубина-день'!H32="","",'Глубина-день'!H32)</f>
        <v>81</v>
      </c>
      <c r="I24" s="199" t="n">
        <f aca="false">IF('Глубина-день'!I32="","",'Глубина-день'!I32)</f>
        <v>1</v>
      </c>
      <c r="J24" s="203" t="n">
        <f aca="false">IF('Глубина-день'!J32="","",'Глубина-день'!J32)</f>
        <v>45490.6041666667</v>
      </c>
      <c r="K24" s="199" t="n">
        <f aca="false">IF('Глубина-день'!R32="","",'Глубина-день'!R32)</f>
        <v>1</v>
      </c>
      <c r="L24" s="204" t="e">
        <f aca="false">IF('глубина-день'!#ref!="","",'глубина-день'!#ref!)</f>
        <v>#VALUE!</v>
      </c>
      <c r="M24" s="205"/>
      <c r="N24" s="199"/>
      <c r="O24" s="206"/>
      <c r="P24" s="180"/>
      <c r="Q24" s="180"/>
      <c r="R24" s="180"/>
      <c r="S24" s="180"/>
      <c r="W24" s="180"/>
      <c r="X24" s="180"/>
      <c r="Y24" s="180"/>
      <c r="Z24" s="180"/>
      <c r="AA24" s="180"/>
      <c r="AB24" s="180"/>
      <c r="AC24" s="180"/>
      <c r="AD24" s="180"/>
    </row>
    <row r="25" customFormat="false" ht="12" hidden="false" customHeight="true" outlineLevel="0" collapsed="false">
      <c r="A25" s="199" t="n">
        <f aca="false">IF('Глубина-день'!A33="","",'Глубина-день'!A33)</f>
        <v>14</v>
      </c>
      <c r="B25" s="200" t="str">
        <f aca="false">IF('Глубина-день'!B33="","",'Глубина-день'!B33)</f>
        <v>Вспомогательные работы</v>
      </c>
      <c r="C25" s="200" t="str">
        <f aca="false">IF('Глубина-день'!C33="","",'Глубина-день'!C33)</f>
        <v>Чистка ЦСГО</v>
      </c>
      <c r="D25" s="199" t="n">
        <f aca="false">IF('Глубина-день'!E33="","",'Глубина-день'!E33)</f>
        <v>245</v>
      </c>
      <c r="E25" s="201" t="str">
        <f aca="false">IF('Глубина-день'!F33="","",'Глубина-день'!F33)</f>
        <v/>
      </c>
      <c r="F25" s="202" t="str">
        <f aca="false">IF('Глубина-день'!G33="","",'Глубина-день'!G33)</f>
        <v/>
      </c>
      <c r="G25" s="199" t="e">
        <f aca="false">IF('глубина-день'!#ref!="","",'глубина-день'!#ref!)</f>
        <v>#VALUE!</v>
      </c>
      <c r="H25" s="199" t="n">
        <f aca="false">IF('Глубина-день'!H33="","",'Глубина-день'!H33)</f>
        <v>81</v>
      </c>
      <c r="I25" s="199" t="n">
        <f aca="false">IF('Глубина-день'!I33="","",'Глубина-день'!I33)</f>
        <v>1</v>
      </c>
      <c r="J25" s="203" t="n">
        <f aca="false">IF('Глубина-день'!J33="","",'Глубина-день'!J33)</f>
        <v>45490.6458333333</v>
      </c>
      <c r="K25" s="199" t="n">
        <f aca="false">IF('Глубина-день'!R33="","",'Глубина-день'!R33)</f>
        <v>1</v>
      </c>
      <c r="L25" s="204" t="e">
        <f aca="false">IF('глубина-день'!#ref!="","",'глубина-день'!#ref!)</f>
        <v>#VALUE!</v>
      </c>
      <c r="M25" s="205"/>
      <c r="N25" s="199"/>
      <c r="O25" s="206"/>
      <c r="P25" s="180"/>
      <c r="Q25" s="180"/>
      <c r="R25" s="180"/>
      <c r="S25" s="180"/>
      <c r="W25" s="180"/>
      <c r="X25" s="180"/>
      <c r="Y25" s="180"/>
      <c r="Z25" s="180"/>
      <c r="AA25" s="180"/>
      <c r="AB25" s="180"/>
      <c r="AC25" s="180"/>
      <c r="AD25" s="180"/>
    </row>
    <row r="26" customFormat="false" ht="12" hidden="false" customHeight="true" outlineLevel="0" collapsed="false">
      <c r="A26" s="199" t="n">
        <f aca="false">IF('Глубина-день'!A34="","",'Глубина-день'!A34)</f>
        <v>15</v>
      </c>
      <c r="B26" s="200" t="str">
        <f aca="false">IF('Глубина-день'!B34="","",'Глубина-день'!B34)</f>
        <v>Бурение</v>
      </c>
      <c r="C26" s="200" t="str">
        <f aca="false">IF('Глубина-день'!C34="","",'Глубина-день'!C34)</f>
        <v>Бурение под кондуктор (наращивание с мостков)</v>
      </c>
      <c r="D26" s="199" t="n">
        <f aca="false">IF('Глубина-день'!E34="","",'Глубина-день'!E34)</f>
        <v>245</v>
      </c>
      <c r="E26" s="201" t="n">
        <f aca="false">IF('Глубина-день'!F34="","",'Глубина-день'!F34)</f>
        <v>81</v>
      </c>
      <c r="F26" s="202" t="n">
        <f aca="false">IF('Глубина-день'!G34="","",'Глубина-день'!G34)</f>
        <v>1500</v>
      </c>
      <c r="G26" s="199" t="e">
        <f aca="false">IF('глубина-день'!#ref!="","",'глубина-день'!#ref!)</f>
        <v>#VALUE!</v>
      </c>
      <c r="H26" s="199" t="n">
        <f aca="false">IF('Глубина-день'!H34="","",'Глубина-день'!H34)</f>
        <v>1500</v>
      </c>
      <c r="I26" s="199" t="n">
        <f aca="false">IF('Глубина-день'!I34="","",'Глубина-день'!I34)</f>
        <v>45</v>
      </c>
      <c r="J26" s="203" t="n">
        <f aca="false">IF('Глубина-день'!J34="","",'Глубина-день'!J34)</f>
        <v>45492.5208333333</v>
      </c>
      <c r="K26" s="199" t="n">
        <f aca="false">IF('Глубина-день'!R34="","",'Глубина-день'!R34)</f>
        <v>45</v>
      </c>
      <c r="L26" s="204" t="e">
        <f aca="false">IF('глубина-день'!#ref!="","",'глубина-день'!#ref!)</f>
        <v>#VALUE!</v>
      </c>
      <c r="M26" s="205"/>
      <c r="N26" s="199"/>
      <c r="O26" s="206"/>
      <c r="P26" s="180"/>
      <c r="Q26" s="180"/>
      <c r="R26" s="180"/>
      <c r="S26" s="180"/>
      <c r="W26" s="180"/>
      <c r="X26" s="180"/>
      <c r="Y26" s="180"/>
      <c r="Z26" s="180"/>
      <c r="AA26" s="180"/>
      <c r="AB26" s="180"/>
      <c r="AC26" s="180"/>
      <c r="AD26" s="180"/>
    </row>
    <row r="27" customFormat="false" ht="12" hidden="false" customHeight="true" outlineLevel="0" collapsed="false">
      <c r="A27" s="199" t="n">
        <f aca="false">IF('Глубина-день'!A35="","",'Глубина-день'!A35)</f>
        <v>16</v>
      </c>
      <c r="B27" s="200" t="str">
        <f aca="false">IF('Глубина-день'!B35="","",'Глубина-день'!B35)</f>
        <v>Циркуляция и Обработка БР</v>
      </c>
      <c r="C27" s="200" t="str">
        <f aca="false">IF('Глубина-день'!C35="","",'Глубина-день'!C35)</f>
        <v>Промывка на забое, продувка</v>
      </c>
      <c r="D27" s="199" t="n">
        <f aca="false">IF('Глубина-день'!E35="","",'Глубина-день'!E35)</f>
        <v>245</v>
      </c>
      <c r="E27" s="201" t="str">
        <f aca="false">IF('Глубина-день'!F35="","",'Глубина-день'!F35)</f>
        <v/>
      </c>
      <c r="F27" s="202" t="str">
        <f aca="false">IF('Глубина-день'!G35="","",'Глубина-день'!G35)</f>
        <v/>
      </c>
      <c r="G27" s="199" t="e">
        <f aca="false">IF('глубина-день'!#ref!="","",'глубина-день'!#ref!)</f>
        <v>#VALUE!</v>
      </c>
      <c r="H27" s="199" t="n">
        <f aca="false">IF('Глубина-день'!H35="","",'Глубина-день'!H35)</f>
        <v>1500</v>
      </c>
      <c r="I27" s="199" t="n">
        <f aca="false">IF('Глубина-день'!I35="","",'Глубина-день'!I35)</f>
        <v>2</v>
      </c>
      <c r="J27" s="203" t="n">
        <f aca="false">IF('Глубина-день'!J35="","",'Глубина-день'!J35)</f>
        <v>45492.6041666667</v>
      </c>
      <c r="K27" s="199" t="n">
        <f aca="false">IF('Глубина-день'!R35="","",'Глубина-день'!R35)</f>
        <v>2</v>
      </c>
      <c r="L27" s="204" t="e">
        <f aca="false">IF('глубина-день'!#ref!="","",'глубина-день'!#ref!)</f>
        <v>#VALUE!</v>
      </c>
      <c r="M27" s="205"/>
      <c r="N27" s="199"/>
      <c r="O27" s="206"/>
      <c r="P27" s="180"/>
      <c r="Q27" s="180"/>
      <c r="R27" s="180"/>
      <c r="S27" s="180"/>
      <c r="W27" s="180"/>
      <c r="X27" s="180"/>
      <c r="Y27" s="180"/>
      <c r="Z27" s="180"/>
      <c r="AA27" s="180"/>
      <c r="AB27" s="180"/>
      <c r="AC27" s="180"/>
      <c r="AD27" s="180"/>
    </row>
    <row r="28" customFormat="false" ht="12" hidden="false" customHeight="true" outlineLevel="0" collapsed="false">
      <c r="A28" s="199" t="n">
        <f aca="false">IF('Глубина-день'!A36="","",'Глубина-день'!A36)</f>
        <v>17</v>
      </c>
      <c r="B28" s="200" t="str">
        <f aca="false">IF('Глубина-день'!B36="","",'Глубина-день'!B36)</f>
        <v>СПО</v>
      </c>
      <c r="C28" s="200" t="str">
        <f aca="false">IF('Глубина-день'!C36="","",'Глубина-день'!C36)</f>
        <v>Шаблонирование подъём КНБК </v>
      </c>
      <c r="D28" s="199" t="n">
        <f aca="false">IF('Глубина-день'!E36="","",'Глубина-день'!E36)</f>
        <v>245</v>
      </c>
      <c r="E28" s="201" t="n">
        <f aca="false">IF('Глубина-день'!F36="","",'Глубина-день'!F36)</f>
        <v>1500</v>
      </c>
      <c r="F28" s="202" t="n">
        <f aca="false">IF('Глубина-день'!G36="","",'Глубина-день'!G36)</f>
        <v>80</v>
      </c>
      <c r="G28" s="199" t="e">
        <f aca="false">IF('глубина-день'!#ref!="","",'глубина-день'!#ref!)</f>
        <v>#VALUE!</v>
      </c>
      <c r="H28" s="199" t="n">
        <f aca="false">IF('Глубина-день'!H36="","",'Глубина-день'!H36)</f>
        <v>1500</v>
      </c>
      <c r="I28" s="199" t="n">
        <f aca="false">IF('Глубина-день'!I36="","",'Глубина-день'!I36)</f>
        <v>8</v>
      </c>
      <c r="J28" s="203" t="n">
        <f aca="false">IF('Глубина-день'!J36="","",'Глубина-день'!J36)</f>
        <v>45492.9375</v>
      </c>
      <c r="K28" s="199" t="n">
        <f aca="false">IF('Глубина-день'!R36="","",'Глубина-день'!R36)</f>
        <v>8</v>
      </c>
      <c r="L28" s="204" t="e">
        <f aca="false">IF('глубина-день'!#ref!="","",'глубина-день'!#ref!)</f>
        <v>#VALUE!</v>
      </c>
      <c r="M28" s="205"/>
      <c r="N28" s="199"/>
      <c r="O28" s="206"/>
      <c r="P28" s="180"/>
      <c r="Q28" s="180"/>
      <c r="R28" s="180"/>
      <c r="S28" s="180"/>
      <c r="W28" s="180"/>
      <c r="X28" s="180"/>
      <c r="Y28" s="180"/>
      <c r="Z28" s="180"/>
      <c r="AA28" s="180"/>
      <c r="AB28" s="180"/>
      <c r="AC28" s="180"/>
      <c r="AD28" s="180"/>
    </row>
    <row r="29" customFormat="false" ht="12" hidden="false" customHeight="true" outlineLevel="0" collapsed="false">
      <c r="A29" s="199" t="n">
        <f aca="false">IF('Глубина-день'!A37="","",'Глубина-день'!A37)</f>
        <v>18</v>
      </c>
      <c r="B29" s="200" t="str">
        <f aca="false">IF('Глубина-день'!B37="","",'Глубина-день'!B37)</f>
        <v>СПО</v>
      </c>
      <c r="C29" s="200" t="str">
        <f aca="false">IF('Глубина-день'!C37="","",'Глубина-день'!C37)</f>
        <v>Шаблонирование спуск КНБК </v>
      </c>
      <c r="D29" s="199" t="n">
        <f aca="false">IF('Глубина-день'!E37="","",'Глубина-день'!E37)</f>
        <v>245</v>
      </c>
      <c r="E29" s="201" t="n">
        <f aca="false">IF('Глубина-день'!F37="","",'Глубина-день'!F37)</f>
        <v>80</v>
      </c>
      <c r="F29" s="202" t="n">
        <f aca="false">IF('Глубина-день'!G37="","",'Глубина-день'!G37)</f>
        <v>1500</v>
      </c>
      <c r="G29" s="199" t="e">
        <f aca="false">IF('глубина-день'!#ref!="","",'глубина-день'!#ref!)</f>
        <v>#VALUE!</v>
      </c>
      <c r="H29" s="199" t="n">
        <f aca="false">IF('Глубина-день'!H37="","",'Глубина-день'!H37)</f>
        <v>1500</v>
      </c>
      <c r="I29" s="199" t="n">
        <f aca="false">IF('Глубина-день'!I37="","",'Глубина-день'!I37)</f>
        <v>7</v>
      </c>
      <c r="J29" s="203" t="n">
        <f aca="false">IF('Глубина-день'!J37="","",'Глубина-день'!J37)</f>
        <v>45493.2291666667</v>
      </c>
      <c r="K29" s="199" t="n">
        <f aca="false">IF('Глубина-день'!R37="","",'Глубина-день'!R37)</f>
        <v>7</v>
      </c>
      <c r="L29" s="204" t="e">
        <f aca="false">IF('глубина-день'!#ref!="","",'глубина-день'!#ref!)</f>
        <v>#VALUE!</v>
      </c>
      <c r="M29" s="205"/>
      <c r="N29" s="199"/>
      <c r="O29" s="206"/>
      <c r="P29" s="180"/>
      <c r="Q29" s="180"/>
      <c r="R29" s="180"/>
      <c r="S29" s="180"/>
      <c r="W29" s="180"/>
      <c r="X29" s="180"/>
      <c r="Y29" s="180"/>
      <c r="Z29" s="180"/>
      <c r="AA29" s="180"/>
      <c r="AB29" s="180"/>
      <c r="AC29" s="180"/>
      <c r="AD29" s="180"/>
    </row>
    <row r="30" customFormat="false" ht="12" hidden="false" customHeight="true" outlineLevel="0" collapsed="false">
      <c r="A30" s="199" t="n">
        <f aca="false">IF('Глубина-день'!A38="","",'Глубина-день'!A38)</f>
        <v>19</v>
      </c>
      <c r="B30" s="200" t="str">
        <f aca="false">IF('Глубина-день'!B38="","",'Глубина-день'!B38)</f>
        <v>Циркуляция и Обработка БР</v>
      </c>
      <c r="C30" s="200" t="str">
        <f aca="false">IF('Глубина-день'!C38="","",'Глубина-день'!C38)</f>
        <v>Промывка на забое,продувка</v>
      </c>
      <c r="D30" s="199" t="n">
        <f aca="false">IF('Глубина-день'!E38="","",'Глубина-день'!E38)</f>
        <v>245</v>
      </c>
      <c r="E30" s="201" t="str">
        <f aca="false">IF('Глубина-день'!F38="","",'Глубина-день'!F38)</f>
        <v/>
      </c>
      <c r="F30" s="202" t="str">
        <f aca="false">IF('Глубина-день'!G38="","",'Глубина-день'!G38)</f>
        <v/>
      </c>
      <c r="G30" s="199" t="e">
        <f aca="false">IF('глубина-день'!#ref!="","",'глубина-день'!#ref!)</f>
        <v>#VALUE!</v>
      </c>
      <c r="H30" s="199" t="n">
        <f aca="false">IF('Глубина-день'!H38="","",'Глубина-день'!H38)</f>
        <v>1500</v>
      </c>
      <c r="I30" s="199" t="n">
        <f aca="false">IF('Глубина-день'!I38="","",'Глубина-день'!I38)</f>
        <v>2</v>
      </c>
      <c r="J30" s="203" t="n">
        <f aca="false">IF('Глубина-день'!J38="","",'Глубина-день'!J38)</f>
        <v>45493.3125</v>
      </c>
      <c r="K30" s="199" t="n">
        <f aca="false">IF('Глубина-день'!R38="","",'Глубина-день'!R38)</f>
        <v>2</v>
      </c>
      <c r="L30" s="204" t="e">
        <f aca="false">IF('глубина-день'!#ref!="","",'глубина-день'!#ref!)</f>
        <v>#VALUE!</v>
      </c>
      <c r="M30" s="205"/>
      <c r="N30" s="199"/>
      <c r="O30" s="206"/>
      <c r="P30" s="180"/>
      <c r="Q30" s="180"/>
      <c r="R30" s="180"/>
      <c r="S30" s="180"/>
      <c r="W30" s="180"/>
      <c r="X30" s="180"/>
      <c r="Y30" s="180"/>
      <c r="Z30" s="180"/>
      <c r="AA30" s="180"/>
      <c r="AB30" s="180"/>
      <c r="AC30" s="180"/>
      <c r="AD30" s="180"/>
    </row>
    <row r="31" customFormat="false" ht="12" hidden="false" customHeight="true" outlineLevel="0" collapsed="false">
      <c r="A31" s="199" t="n">
        <f aca="false">IF('Глубина-день'!A39="","",'Глубина-день'!A39)</f>
        <v>20</v>
      </c>
      <c r="B31" s="200" t="str">
        <f aca="false">IF('Глубина-день'!B39="","",'Глубина-день'!B39)</f>
        <v>СПО</v>
      </c>
      <c r="C31" s="200" t="str">
        <f aca="false">IF('Глубина-день'!C39="","",'Глубина-день'!C39)</f>
        <v>Подъём КНБК </v>
      </c>
      <c r="D31" s="199" t="n">
        <f aca="false">IF('Глубина-день'!E39="","",'Глубина-день'!E39)</f>
        <v>245</v>
      </c>
      <c r="E31" s="201" t="n">
        <f aca="false">IF('Глубина-день'!F39="","",'Глубина-день'!F39)</f>
        <v>1500</v>
      </c>
      <c r="F31" s="202" t="n">
        <f aca="false">IF('Глубина-день'!G39="","",'Глубина-день'!G39)</f>
        <v>0</v>
      </c>
      <c r="G31" s="199" t="e">
        <f aca="false">IF('глубина-день'!#ref!="","",'глубина-день'!#ref!)</f>
        <v>#VALUE!</v>
      </c>
      <c r="H31" s="199" t="n">
        <f aca="false">IF('Глубина-день'!H39="","",'Глубина-день'!H39)</f>
        <v>1500</v>
      </c>
      <c r="I31" s="199" t="n">
        <f aca="false">IF('Глубина-день'!I39="","",'Глубина-день'!I39)</f>
        <v>7</v>
      </c>
      <c r="J31" s="203" t="n">
        <f aca="false">IF('Глубина-день'!J39="","",'Глубина-день'!J39)</f>
        <v>45493.6041666667</v>
      </c>
      <c r="K31" s="199" t="n">
        <f aca="false">IF('Глубина-день'!R39="","",'Глубина-день'!R39)</f>
        <v>7</v>
      </c>
      <c r="L31" s="204" t="e">
        <f aca="false">IF('глубина-день'!#ref!="","",'глубина-день'!#ref!)</f>
        <v>#VALUE!</v>
      </c>
      <c r="M31" s="205"/>
      <c r="N31" s="199"/>
      <c r="O31" s="206"/>
      <c r="P31" s="180"/>
      <c r="Q31" s="180"/>
      <c r="R31" s="180"/>
      <c r="S31" s="180"/>
      <c r="W31" s="180"/>
      <c r="X31" s="180"/>
      <c r="Y31" s="180"/>
      <c r="Z31" s="180"/>
      <c r="AA31" s="180"/>
      <c r="AB31" s="180"/>
      <c r="AC31" s="180"/>
      <c r="AD31" s="180"/>
    </row>
    <row r="32" customFormat="false" ht="12" hidden="false" customHeight="true" outlineLevel="0" collapsed="false">
      <c r="A32" s="199" t="n">
        <f aca="false">IF('Глубина-день'!A40="","",'Глубина-день'!A40)</f>
        <v>21</v>
      </c>
      <c r="B32" s="200" t="str">
        <f aca="false">IF('Глубина-день'!B40="","",'Глубина-день'!B40)</f>
        <v>КНБК</v>
      </c>
      <c r="C32" s="200" t="str">
        <f aca="false">IF('Глубина-день'!C40="","",'Глубина-день'!C40)</f>
        <v>Разборка КНБК с телесистемой</v>
      </c>
      <c r="D32" s="199" t="n">
        <f aca="false">IF('Глубина-день'!E40="","",'Глубина-день'!E40)</f>
        <v>245</v>
      </c>
      <c r="E32" s="201" t="str">
        <f aca="false">IF('Глубина-день'!F40="","",'Глубина-день'!F40)</f>
        <v/>
      </c>
      <c r="F32" s="202" t="str">
        <f aca="false">IF('Глубина-день'!G40="","",'Глубина-день'!G40)</f>
        <v/>
      </c>
      <c r="G32" s="199" t="e">
        <f aca="false">IF('глубина-день'!#ref!="","",'глубина-день'!#ref!)</f>
        <v>#VALUE!</v>
      </c>
      <c r="H32" s="199" t="n">
        <f aca="false">IF('Глубина-день'!H40="","",'Глубина-день'!H40)</f>
        <v>1500</v>
      </c>
      <c r="I32" s="199" t="n">
        <f aca="false">IF('Глубина-день'!I40="","",'Глубина-день'!I40)</f>
        <v>3</v>
      </c>
      <c r="J32" s="203" t="n">
        <f aca="false">IF('Глубина-день'!J40="","",'Глубина-день'!J40)</f>
        <v>45493.7291666667</v>
      </c>
      <c r="K32" s="199" t="n">
        <f aca="false">IF('Глубина-день'!R40="","",'Глубина-день'!R40)</f>
        <v>3</v>
      </c>
      <c r="L32" s="204" t="e">
        <f aca="false">IF('глубина-день'!#ref!="","",'глубина-день'!#ref!)</f>
        <v>#VALUE!</v>
      </c>
      <c r="M32" s="205"/>
      <c r="N32" s="199"/>
      <c r="O32" s="206"/>
      <c r="P32" s="180"/>
      <c r="Q32" s="180"/>
      <c r="R32" s="180"/>
      <c r="S32" s="180"/>
      <c r="W32" s="180"/>
      <c r="X32" s="180"/>
      <c r="Y32" s="180"/>
      <c r="Z32" s="180"/>
      <c r="AA32" s="180"/>
      <c r="AB32" s="180"/>
      <c r="AC32" s="180"/>
      <c r="AD32" s="180"/>
    </row>
    <row r="33" customFormat="false" ht="12" hidden="false" customHeight="true" outlineLevel="0" collapsed="false">
      <c r="A33" s="199" t="n">
        <f aca="false">IF('Глубина-день'!A41="","",'Глубина-день'!A41)</f>
        <v>22</v>
      </c>
      <c r="B33" s="200" t="str">
        <f aca="false">IF('Глубина-день'!B41="","",'Глубина-день'!B41)</f>
        <v>Подготовительные работы</v>
      </c>
      <c r="C33" s="200" t="str">
        <f aca="false">IF('Глубина-день'!C41="","",'Глубина-день'!C41)</f>
        <v>ПЗР к спуску ОК 245мм</v>
      </c>
      <c r="D33" s="199" t="n">
        <f aca="false">IF('Глубина-день'!E41="","",'Глубина-день'!E41)</f>
        <v>245</v>
      </c>
      <c r="E33" s="201" t="str">
        <f aca="false">IF('Глубина-день'!F41="","",'Глубина-день'!F41)</f>
        <v/>
      </c>
      <c r="F33" s="202" t="str">
        <f aca="false">IF('Глубина-день'!G41="","",'Глубина-день'!G41)</f>
        <v/>
      </c>
      <c r="G33" s="199" t="e">
        <f aca="false">IF('глубина-день'!#ref!="","",'глубина-день'!#ref!)</f>
        <v>#VALUE!</v>
      </c>
      <c r="H33" s="199" t="n">
        <f aca="false">IF('Глубина-день'!H41="","",'Глубина-день'!H41)</f>
        <v>1500</v>
      </c>
      <c r="I33" s="199" t="n">
        <f aca="false">IF('Глубина-день'!I41="","",'Глубина-день'!I41)</f>
        <v>1</v>
      </c>
      <c r="J33" s="203" t="n">
        <f aca="false">IF('Глубина-день'!J41="","",'Глубина-день'!J41)</f>
        <v>45493.7708333333</v>
      </c>
      <c r="K33" s="199" t="n">
        <f aca="false">IF('Глубина-день'!R41="","",'Глубина-день'!R41)</f>
        <v>1</v>
      </c>
      <c r="L33" s="204" t="e">
        <f aca="false">IF('глубина-день'!#ref!="","",'глубина-день'!#ref!)</f>
        <v>#VALUE!</v>
      </c>
      <c r="M33" s="205"/>
      <c r="N33" s="199"/>
      <c r="O33" s="206"/>
      <c r="P33" s="180"/>
      <c r="Q33" s="180"/>
      <c r="R33" s="180"/>
      <c r="S33" s="180"/>
      <c r="W33" s="180"/>
      <c r="X33" s="180"/>
      <c r="Y33" s="180"/>
      <c r="Z33" s="180"/>
      <c r="AA33" s="180"/>
      <c r="AB33" s="180"/>
      <c r="AC33" s="180"/>
      <c r="AD33" s="180"/>
    </row>
    <row r="34" customFormat="false" ht="12" hidden="false" customHeight="true" outlineLevel="0" collapsed="false">
      <c r="A34" s="199" t="n">
        <f aca="false">IF('Глубина-день'!A42="","",'Глубина-день'!A42)</f>
        <v>23</v>
      </c>
      <c r="B34" s="200" t="str">
        <f aca="false">IF('Глубина-день'!B42="","",'Глубина-день'!B42)</f>
        <v>Крепление</v>
      </c>
      <c r="C34" s="200" t="str">
        <f aca="false">IF('Глубина-день'!C42="","",'Глубина-день'!C42)</f>
        <v>Спуск ОК 245мм с промежуточными промывками</v>
      </c>
      <c r="D34" s="199" t="n">
        <f aca="false">IF('Глубина-день'!E42="","",'Глубина-день'!E42)</f>
        <v>245</v>
      </c>
      <c r="E34" s="201" t="n">
        <f aca="false">IF('Глубина-день'!F42="","",'Глубина-день'!F42)</f>
        <v>0</v>
      </c>
      <c r="F34" s="202" t="n">
        <f aca="false">IF('Глубина-день'!G42="","",'Глубина-день'!G42)</f>
        <v>1500</v>
      </c>
      <c r="G34" s="199" t="e">
        <f aca="false">IF('глубина-день'!#ref!="","",'глубина-день'!#ref!)</f>
        <v>#VALUE!</v>
      </c>
      <c r="H34" s="199" t="n">
        <f aca="false">IF('Глубина-день'!H42="","",'Глубина-день'!H42)</f>
        <v>1500</v>
      </c>
      <c r="I34" s="199" t="n">
        <f aca="false">IF('Глубина-день'!I42="","",'Глубина-день'!I42)</f>
        <v>13</v>
      </c>
      <c r="J34" s="203" t="n">
        <f aca="false">IF('Глубина-день'!J42="","",'Глубина-день'!J42)</f>
        <v>45494.3125</v>
      </c>
      <c r="K34" s="199" t="n">
        <f aca="false">IF('Глубина-день'!R42="","",'Глубина-день'!R42)</f>
        <v>13</v>
      </c>
      <c r="L34" s="204" t="e">
        <f aca="false">IF('глубина-день'!#ref!="","",'глубина-день'!#ref!)</f>
        <v>#VALUE!</v>
      </c>
      <c r="M34" s="205"/>
      <c r="N34" s="199"/>
      <c r="O34" s="206"/>
      <c r="P34" s="180"/>
      <c r="Q34" s="180"/>
      <c r="R34" s="180"/>
      <c r="S34" s="180"/>
      <c r="W34" s="180"/>
      <c r="X34" s="180"/>
      <c r="Y34" s="180"/>
      <c r="Z34" s="180"/>
      <c r="AA34" s="180"/>
      <c r="AB34" s="180"/>
      <c r="AC34" s="180"/>
      <c r="AD34" s="180"/>
    </row>
    <row r="35" customFormat="false" ht="12" hidden="false" customHeight="true" outlineLevel="0" collapsed="false">
      <c r="A35" s="199" t="n">
        <f aca="false">IF('Глубина-день'!A43="","",'Глубина-день'!A43)</f>
        <v>24</v>
      </c>
      <c r="B35" s="200" t="str">
        <f aca="false">IF('Глубина-день'!B43="","",'Глубина-день'!B43)</f>
        <v>Циркуляция и Обработка БР</v>
      </c>
      <c r="C35" s="200" t="str">
        <f aca="false">IF('Глубина-день'!C43="","",'Глубина-день'!C43)</f>
        <v>Промывка перед цементажем</v>
      </c>
      <c r="D35" s="199" t="n">
        <f aca="false">IF('Глубина-день'!E43="","",'Глубина-день'!E43)</f>
        <v>245</v>
      </c>
      <c r="E35" s="201" t="str">
        <f aca="false">IF('Глубина-день'!F43="","",'Глубина-день'!F43)</f>
        <v/>
      </c>
      <c r="F35" s="202" t="str">
        <f aca="false">IF('Глубина-день'!G43="","",'Глубина-день'!G43)</f>
        <v/>
      </c>
      <c r="G35" s="199" t="e">
        <f aca="false">IF('глубина-день'!#ref!="","",'глубина-день'!#ref!)</f>
        <v>#VALUE!</v>
      </c>
      <c r="H35" s="199" t="n">
        <f aca="false">IF('Глубина-день'!H43="","",'Глубина-день'!H43)</f>
        <v>1500</v>
      </c>
      <c r="I35" s="199" t="n">
        <f aca="false">IF('Глубина-день'!I43="","",'Глубина-день'!I43)</f>
        <v>2</v>
      </c>
      <c r="J35" s="203" t="n">
        <f aca="false">IF('Глубина-день'!J43="","",'Глубина-день'!J43)</f>
        <v>45494.3958333333</v>
      </c>
      <c r="K35" s="199" t="n">
        <f aca="false">IF('Глубина-день'!R43="","",'Глубина-день'!R43)</f>
        <v>2</v>
      </c>
      <c r="L35" s="204" t="e">
        <f aca="false">IF('глубина-день'!#ref!="","",'глубина-день'!#ref!)</f>
        <v>#VALUE!</v>
      </c>
      <c r="M35" s="205"/>
      <c r="N35" s="199"/>
      <c r="O35" s="206"/>
      <c r="P35" s="180"/>
      <c r="Q35" s="180"/>
      <c r="R35" s="180"/>
      <c r="S35" s="180"/>
      <c r="W35" s="180"/>
      <c r="X35" s="180"/>
      <c r="Y35" s="180"/>
      <c r="Z35" s="180"/>
      <c r="AA35" s="180"/>
      <c r="AB35" s="180"/>
      <c r="AC35" s="180"/>
      <c r="AD35" s="180"/>
    </row>
    <row r="36" customFormat="false" ht="12" hidden="false" customHeight="true" outlineLevel="0" collapsed="false">
      <c r="A36" s="199" t="n">
        <f aca="false">IF('Глубина-день'!A45="","",'Глубина-день'!A45)</f>
        <v>26</v>
      </c>
      <c r="B36" s="200" t="str">
        <f aca="false">IF('Глубина-день'!B45="","",'Глубина-день'!B45)</f>
        <v>Вспомогательные работы</v>
      </c>
      <c r="C36" s="200" t="str">
        <f aca="false">IF('Глубина-день'!C45="","",'Глубина-день'!C45)</f>
        <v>Монтаж ОУС,Вывоз БР</v>
      </c>
      <c r="D36" s="199" t="n">
        <f aca="false">IF('Глубина-день'!E45="","",'Глубина-день'!E45)</f>
        <v>245</v>
      </c>
      <c r="E36" s="201" t="str">
        <f aca="false">IF('Глубина-день'!F45="","",'Глубина-день'!F45)</f>
        <v/>
      </c>
      <c r="F36" s="202" t="str">
        <f aca="false">IF('Глубина-день'!G45="","",'Глубина-день'!G45)</f>
        <v/>
      </c>
      <c r="G36" s="199" t="e">
        <f aca="false">IF('глубина-день'!#ref!="","",'глубина-день'!#ref!)</f>
        <v>#VALUE!</v>
      </c>
      <c r="H36" s="199" t="n">
        <f aca="false">IF('Глубина-день'!H45="","",'Глубина-день'!H45)</f>
        <v>1500</v>
      </c>
      <c r="I36" s="199" t="n">
        <f aca="false">IF('Глубина-день'!I45="","",'Глубина-день'!I45)</f>
        <v>2</v>
      </c>
      <c r="J36" s="203" t="n">
        <f aca="false">IF('Глубина-день'!J45="","",'Глубина-день'!J45)</f>
        <v>45494.6041666667</v>
      </c>
      <c r="K36" s="199" t="n">
        <f aca="false">IF('Глубина-день'!R45="","",'Глубина-день'!R45)</f>
        <v>2</v>
      </c>
      <c r="L36" s="204" t="e">
        <f aca="false">IF('глубина-день'!#ref!="","",'глубина-день'!#ref!)</f>
        <v>#VALUE!</v>
      </c>
      <c r="M36" s="205"/>
      <c r="N36" s="199"/>
      <c r="O36" s="206"/>
      <c r="P36" s="180"/>
      <c r="Q36" s="180"/>
      <c r="R36" s="180"/>
      <c r="S36" s="180"/>
      <c r="W36" s="180"/>
      <c r="X36" s="180"/>
      <c r="Y36" s="180"/>
      <c r="Z36" s="180"/>
      <c r="AA36" s="180"/>
      <c r="AB36" s="180"/>
      <c r="AC36" s="180"/>
      <c r="AD36" s="180"/>
    </row>
    <row r="37" customFormat="false" ht="12" hidden="false" customHeight="true" outlineLevel="0" collapsed="false">
      <c r="A37" s="199" t="e">
        <f aca="false">IF('глубина-день'!#ref!="","",'глубина-день'!#ref!)</f>
        <v>#VALUE!</v>
      </c>
      <c r="B37" s="200" t="e">
        <f aca="false">IF('глубина-день'!#ref!="","",'глубина-день'!#ref!)</f>
        <v>#VALUE!</v>
      </c>
      <c r="C37" s="200" t="e">
        <f aca="false">IF('глубина-день'!#ref!="","",'глубина-день'!#ref!)</f>
        <v>#VALUE!</v>
      </c>
      <c r="D37" s="199" t="e">
        <f aca="false">IF('глубина-день'!#ref!="","",'глубина-день'!#ref!)</f>
        <v>#VALUE!</v>
      </c>
      <c r="E37" s="201" t="e">
        <f aca="false">IF('глубина-день'!#ref!="","",'глубина-день'!#ref!)</f>
        <v>#VALUE!</v>
      </c>
      <c r="F37" s="202" t="e">
        <f aca="false">IF('глубина-день'!#ref!="","",'глубина-день'!#ref!)</f>
        <v>#VALUE!</v>
      </c>
      <c r="G37" s="199" t="e">
        <f aca="false">IF('глубина-день'!#ref!="","",'глубина-день'!#ref!)</f>
        <v>#VALUE!</v>
      </c>
      <c r="H37" s="199" t="e">
        <f aca="false">IF('глубина-день'!#ref!="","",'глубина-день'!#ref!)</f>
        <v>#VALUE!</v>
      </c>
      <c r="I37" s="199" t="e">
        <f aca="false">IF('глубина-день'!#ref!="","",'глубина-день'!#ref!)</f>
        <v>#VALUE!</v>
      </c>
      <c r="J37" s="203" t="e">
        <f aca="false">IF('глубина-день'!#ref!="","",'глубина-день'!#ref!)</f>
        <v>#VALUE!</v>
      </c>
      <c r="K37" s="199" t="e">
        <f aca="false">IF('глубина-день'!#ref!="","",'глубина-день'!#ref!)</f>
        <v>#VALUE!</v>
      </c>
      <c r="L37" s="204" t="e">
        <f aca="false">IF('глубина-день'!#ref!="","",'глубина-день'!#ref!)</f>
        <v>#VALUE!</v>
      </c>
      <c r="M37" s="205"/>
      <c r="N37" s="199"/>
      <c r="O37" s="206"/>
      <c r="P37" s="180"/>
      <c r="Q37" s="180"/>
      <c r="R37" s="180"/>
      <c r="S37" s="180"/>
      <c r="W37" s="180"/>
      <c r="X37" s="180"/>
      <c r="Y37" s="180"/>
      <c r="Z37" s="180"/>
      <c r="AA37" s="180"/>
      <c r="AB37" s="180"/>
      <c r="AC37" s="180"/>
      <c r="AD37" s="180"/>
    </row>
    <row r="38" customFormat="false" ht="12" hidden="false" customHeight="true" outlineLevel="0" collapsed="false">
      <c r="A38" s="199" t="e">
        <f aca="false">IF('глубина-день'!#ref!="","",'глубина-день'!#ref!)</f>
        <v>#VALUE!</v>
      </c>
      <c r="B38" s="200" t="e">
        <f aca="false">IF('глубина-день'!#ref!="","",'глубина-день'!#ref!)</f>
        <v>#VALUE!</v>
      </c>
      <c r="C38" s="200" t="e">
        <f aca="false">IF('глубина-день'!#ref!="","",'глубина-день'!#ref!)</f>
        <v>#VALUE!</v>
      </c>
      <c r="D38" s="199" t="e">
        <f aca="false">IF('глубина-день'!#ref!="","",'глубина-день'!#ref!)</f>
        <v>#VALUE!</v>
      </c>
      <c r="E38" s="201" t="e">
        <f aca="false">IF('глубина-день'!#ref!="","",'глубина-день'!#ref!)</f>
        <v>#VALUE!</v>
      </c>
      <c r="F38" s="202" t="e">
        <f aca="false">IF('глубина-день'!#ref!="","",'глубина-день'!#ref!)</f>
        <v>#VALUE!</v>
      </c>
      <c r="G38" s="199" t="e">
        <f aca="false">IF('глубина-день'!#ref!="","",'глубина-день'!#ref!)</f>
        <v>#VALUE!</v>
      </c>
      <c r="H38" s="199" t="e">
        <f aca="false">IF('глубина-день'!#ref!="","",'глубина-день'!#ref!)</f>
        <v>#VALUE!</v>
      </c>
      <c r="I38" s="199" t="e">
        <f aca="false">IF('глубина-день'!#ref!="","",'глубина-день'!#ref!)</f>
        <v>#VALUE!</v>
      </c>
      <c r="J38" s="203" t="e">
        <f aca="false">IF('глубина-день'!#ref!="","",'глубина-день'!#ref!)</f>
        <v>#VALUE!</v>
      </c>
      <c r="K38" s="199" t="e">
        <f aca="false">IF('глубина-день'!#ref!="","",'глубина-день'!#ref!)</f>
        <v>#VALUE!</v>
      </c>
      <c r="L38" s="204" t="e">
        <f aca="false">IF('глубина-день'!#ref!="","",'глубина-день'!#ref!)</f>
        <v>#VALUE!</v>
      </c>
      <c r="M38" s="205"/>
      <c r="N38" s="199"/>
      <c r="O38" s="206"/>
      <c r="P38" s="180"/>
      <c r="Q38" s="180"/>
      <c r="R38" s="180"/>
      <c r="S38" s="180"/>
      <c r="W38" s="180"/>
      <c r="X38" s="180"/>
      <c r="Y38" s="180"/>
      <c r="Z38" s="180"/>
      <c r="AA38" s="180"/>
      <c r="AB38" s="180"/>
      <c r="AC38" s="180"/>
      <c r="AD38" s="180"/>
    </row>
    <row r="39" customFormat="false" ht="12" hidden="false" customHeight="true" outlineLevel="0" collapsed="false">
      <c r="A39" s="199" t="n">
        <f aca="false">IF('Глубина-день'!A46="","",'Глубина-день'!A46)</f>
        <v>27</v>
      </c>
      <c r="B39" s="200" t="str">
        <f aca="false">IF('Глубина-день'!B46="","",'Глубина-день'!B46)</f>
        <v>Вспомогательные работы</v>
      </c>
      <c r="C39" s="200" t="str">
        <f aca="false">IF('Глубина-день'!C46="","",'Глубина-день'!C46)</f>
        <v>Монтаж ПВО, монтаж разрезной воронки и устьевого желоба</v>
      </c>
      <c r="D39" s="199" t="n">
        <f aca="false">IF('Глубина-день'!E46="","",'Глубина-день'!E46)</f>
        <v>245</v>
      </c>
      <c r="E39" s="201" t="str">
        <f aca="false">IF('Глубина-день'!F46="","",'Глубина-день'!F46)</f>
        <v/>
      </c>
      <c r="F39" s="202" t="str">
        <f aca="false">IF('Глубина-день'!G46="","",'Глубина-день'!G46)</f>
        <v/>
      </c>
      <c r="G39" s="199" t="e">
        <f aca="false">IF('глубина-день'!#ref!="","",'глубина-день'!#ref!)</f>
        <v>#VALUE!</v>
      </c>
      <c r="H39" s="199" t="n">
        <f aca="false">IF('Глубина-день'!H46="","",'Глубина-день'!H46)</f>
        <v>1500</v>
      </c>
      <c r="I39" s="199" t="n">
        <f aca="false">IF('Глубина-день'!I46="","",'Глубина-день'!I46)</f>
        <v>6</v>
      </c>
      <c r="J39" s="203" t="n">
        <f aca="false">IF('Глубина-день'!J46="","",'Глубина-день'!J46)</f>
        <v>45494.8541666667</v>
      </c>
      <c r="K39" s="199" t="n">
        <f aca="false">IF('Глубина-день'!R46="","",'Глубина-день'!R46)</f>
        <v>6</v>
      </c>
      <c r="L39" s="204" t="e">
        <f aca="false">IF('глубина-день'!#ref!="","",'глубина-день'!#ref!)</f>
        <v>#VALUE!</v>
      </c>
      <c r="M39" s="205"/>
      <c r="N39" s="199"/>
      <c r="O39" s="206"/>
      <c r="P39" s="180"/>
      <c r="Q39" s="180"/>
      <c r="R39" s="180"/>
      <c r="S39" s="180"/>
      <c r="W39" s="180"/>
      <c r="X39" s="180"/>
      <c r="Y39" s="180"/>
      <c r="Z39" s="180"/>
      <c r="AA39" s="180"/>
      <c r="AB39" s="180"/>
      <c r="AC39" s="180"/>
      <c r="AD39" s="180"/>
    </row>
    <row r="40" customFormat="false" ht="12" hidden="false" customHeight="true" outlineLevel="0" collapsed="false">
      <c r="A40" s="199" t="e">
        <f aca="false">IF('глубина-день'!#ref!="","",'глубина-день'!#ref!)</f>
        <v>#VALUE!</v>
      </c>
      <c r="B40" s="200" t="e">
        <f aca="false">IF('глубина-день'!#ref!="","",'глубина-день'!#ref!)</f>
        <v>#VALUE!</v>
      </c>
      <c r="C40" s="200" t="e">
        <f aca="false">IF('глубина-день'!#ref!="","",'глубина-день'!#ref!)</f>
        <v>#VALUE!</v>
      </c>
      <c r="D40" s="199" t="e">
        <f aca="false">IF('глубина-день'!#ref!="","",'глубина-день'!#ref!)</f>
        <v>#VALUE!</v>
      </c>
      <c r="E40" s="201" t="e">
        <f aca="false">IF('глубина-день'!#ref!="","",'глубина-день'!#ref!)</f>
        <v>#VALUE!</v>
      </c>
      <c r="F40" s="202" t="e">
        <f aca="false">IF('глубина-день'!#ref!="","",'глубина-день'!#ref!)</f>
        <v>#VALUE!</v>
      </c>
      <c r="G40" s="199" t="e">
        <f aca="false">IF('глубина-день'!#ref!="","",'глубина-день'!#ref!)</f>
        <v>#VALUE!</v>
      </c>
      <c r="H40" s="199" t="e">
        <f aca="false">IF('глубина-день'!#ref!="","",'глубина-день'!#ref!)</f>
        <v>#VALUE!</v>
      </c>
      <c r="I40" s="199" t="e">
        <f aca="false">IF('глубина-день'!#ref!="","",'глубина-день'!#ref!)</f>
        <v>#VALUE!</v>
      </c>
      <c r="J40" s="203" t="e">
        <f aca="false">IF('глубина-день'!#ref!="","",'глубина-день'!#ref!)</f>
        <v>#VALUE!</v>
      </c>
      <c r="K40" s="199" t="e">
        <f aca="false">IF('глубина-день'!#ref!="","",'глубина-день'!#ref!)</f>
        <v>#VALUE!</v>
      </c>
      <c r="L40" s="204" t="e">
        <f aca="false">IF('глубина-день'!#ref!="","",'глубина-день'!#ref!)</f>
        <v>#VALUE!</v>
      </c>
      <c r="M40" s="205"/>
      <c r="N40" s="199"/>
      <c r="O40" s="206"/>
      <c r="P40" s="180"/>
      <c r="Q40" s="180"/>
      <c r="R40" s="180"/>
      <c r="S40" s="180"/>
      <c r="W40" s="180"/>
      <c r="X40" s="180"/>
      <c r="Y40" s="180"/>
      <c r="Z40" s="180"/>
      <c r="AA40" s="180"/>
      <c r="AB40" s="180"/>
      <c r="AC40" s="180"/>
      <c r="AD40" s="180"/>
    </row>
    <row r="41" customFormat="false" ht="12" hidden="false" customHeight="true" outlineLevel="0" collapsed="false">
      <c r="A41" s="199" t="e">
        <f aca="false">IF('глубина-день'!#ref!="","",'глубина-день'!#ref!)</f>
        <v>#VALUE!</v>
      </c>
      <c r="B41" s="200" t="e">
        <f aca="false">IF('глубина-день'!#ref!="","",'глубина-день'!#ref!)</f>
        <v>#VALUE!</v>
      </c>
      <c r="C41" s="200" t="e">
        <f aca="false">IF('глубина-день'!#ref!="","",'глубина-день'!#ref!)</f>
        <v>#VALUE!</v>
      </c>
      <c r="D41" s="199" t="e">
        <f aca="false">IF('глубина-день'!#ref!="","",'глубина-день'!#ref!)</f>
        <v>#VALUE!</v>
      </c>
      <c r="E41" s="201" t="e">
        <f aca="false">IF('глубина-день'!#ref!="","",'глубина-день'!#ref!)</f>
        <v>#VALUE!</v>
      </c>
      <c r="F41" s="202" t="e">
        <f aca="false">IF('глубина-день'!#ref!="","",'глубина-день'!#ref!)</f>
        <v>#VALUE!</v>
      </c>
      <c r="G41" s="199" t="e">
        <f aca="false">IF('глубина-день'!#ref!="","",'глубина-день'!#ref!)</f>
        <v>#VALUE!</v>
      </c>
      <c r="H41" s="199" t="e">
        <f aca="false">IF('глубина-день'!#ref!="","",'глубина-день'!#ref!)</f>
        <v>#VALUE!</v>
      </c>
      <c r="I41" s="199" t="e">
        <f aca="false">IF('глубина-день'!#ref!="","",'глубина-день'!#ref!)</f>
        <v>#VALUE!</v>
      </c>
      <c r="J41" s="203" t="e">
        <f aca="false">IF('глубина-день'!#ref!="","",'глубина-день'!#ref!)</f>
        <v>#VALUE!</v>
      </c>
      <c r="K41" s="199" t="e">
        <f aca="false">IF('глубина-день'!#ref!="","",'глубина-день'!#ref!)</f>
        <v>#VALUE!</v>
      </c>
      <c r="L41" s="204" t="e">
        <f aca="false">IF('глубина-день'!#ref!="","",'глубина-день'!#ref!)</f>
        <v>#VALUE!</v>
      </c>
      <c r="M41" s="205"/>
      <c r="N41" s="199"/>
      <c r="O41" s="206"/>
      <c r="P41" s="180"/>
      <c r="Q41" s="180"/>
      <c r="R41" s="180"/>
      <c r="S41" s="180"/>
      <c r="W41" s="180"/>
      <c r="X41" s="180"/>
      <c r="Y41" s="180"/>
      <c r="Z41" s="180"/>
      <c r="AA41" s="180"/>
      <c r="AB41" s="180"/>
      <c r="AC41" s="180"/>
      <c r="AD41" s="180"/>
    </row>
    <row r="42" customFormat="false" ht="12" hidden="false" customHeight="true" outlineLevel="0" collapsed="false">
      <c r="A42" s="199" t="e">
        <f aca="false">IF('глубина-день'!#ref!="","",'глубина-день'!#ref!)</f>
        <v>#VALUE!</v>
      </c>
      <c r="B42" s="200" t="e">
        <f aca="false">IF('глубина-день'!#ref!="","",'глубина-день'!#ref!)</f>
        <v>#VALUE!</v>
      </c>
      <c r="C42" s="200" t="e">
        <f aca="false">IF('глубина-день'!#ref!="","",'глубина-день'!#ref!)</f>
        <v>#VALUE!</v>
      </c>
      <c r="D42" s="199" t="e">
        <f aca="false">IF('глубина-день'!#ref!="","",'глубина-день'!#ref!)</f>
        <v>#VALUE!</v>
      </c>
      <c r="E42" s="201" t="e">
        <f aca="false">IF('глубина-день'!#ref!="","",'глубина-день'!#ref!)</f>
        <v>#VALUE!</v>
      </c>
      <c r="F42" s="202" t="e">
        <f aca="false">IF('глубина-день'!#ref!="","",'глубина-день'!#ref!)</f>
        <v>#VALUE!</v>
      </c>
      <c r="G42" s="199" t="e">
        <f aca="false">IF('глубина-день'!#ref!="","",'глубина-день'!#ref!)</f>
        <v>#VALUE!</v>
      </c>
      <c r="H42" s="199" t="e">
        <f aca="false">IF('глубина-день'!#ref!="","",'глубина-день'!#ref!)</f>
        <v>#VALUE!</v>
      </c>
      <c r="I42" s="199" t="e">
        <f aca="false">IF('глубина-день'!#ref!="","",'глубина-день'!#ref!)</f>
        <v>#VALUE!</v>
      </c>
      <c r="J42" s="203" t="e">
        <f aca="false">IF('глубина-день'!#ref!="","",'глубина-день'!#ref!)</f>
        <v>#VALUE!</v>
      </c>
      <c r="K42" s="199" t="e">
        <f aca="false">IF('глубина-день'!#ref!="","",'глубина-день'!#ref!)</f>
        <v>#VALUE!</v>
      </c>
      <c r="L42" s="204" t="e">
        <f aca="false">IF('глубина-день'!#ref!="","",'глубина-день'!#ref!)</f>
        <v>#VALUE!</v>
      </c>
      <c r="M42" s="205"/>
      <c r="N42" s="199"/>
      <c r="O42" s="206"/>
      <c r="P42" s="180"/>
      <c r="Q42" s="180"/>
      <c r="R42" s="180"/>
      <c r="S42" s="180"/>
      <c r="W42" s="180"/>
      <c r="X42" s="180"/>
      <c r="Y42" s="180"/>
      <c r="Z42" s="180"/>
      <c r="AA42" s="180"/>
      <c r="AB42" s="180"/>
      <c r="AC42" s="180"/>
      <c r="AD42" s="180"/>
    </row>
    <row r="43" customFormat="false" ht="12" hidden="false" customHeight="true" outlineLevel="0" collapsed="false">
      <c r="A43" s="199" t="e">
        <f aca="false">IF('глубина-день'!#ref!="","",'глубина-день'!#ref!)</f>
        <v>#VALUE!</v>
      </c>
      <c r="B43" s="200" t="e">
        <f aca="false">IF('глубина-день'!#ref!="","",'глубина-день'!#ref!)</f>
        <v>#VALUE!</v>
      </c>
      <c r="C43" s="200" t="e">
        <f aca="false">IF('глубина-день'!#ref!="","",'глубина-день'!#ref!)</f>
        <v>#VALUE!</v>
      </c>
      <c r="D43" s="199" t="e">
        <f aca="false">IF('глубина-день'!#ref!="","",'глубина-день'!#ref!)</f>
        <v>#VALUE!</v>
      </c>
      <c r="E43" s="201" t="e">
        <f aca="false">IF('глубина-день'!#ref!="","",'глубина-день'!#ref!)</f>
        <v>#VALUE!</v>
      </c>
      <c r="F43" s="202" t="e">
        <f aca="false">IF('глубина-день'!#ref!="","",'глубина-день'!#ref!)</f>
        <v>#VALUE!</v>
      </c>
      <c r="G43" s="199" t="e">
        <f aca="false">IF('глубина-день'!#ref!="","",'глубина-день'!#ref!)</f>
        <v>#VALUE!</v>
      </c>
      <c r="H43" s="199" t="e">
        <f aca="false">IF('глубина-день'!#ref!="","",'глубина-день'!#ref!)</f>
        <v>#VALUE!</v>
      </c>
      <c r="I43" s="199" t="e">
        <f aca="false">IF('глубина-день'!#ref!="","",'глубина-день'!#ref!)</f>
        <v>#VALUE!</v>
      </c>
      <c r="J43" s="203" t="e">
        <f aca="false">IF('глубина-день'!#ref!="","",'глубина-день'!#ref!)</f>
        <v>#VALUE!</v>
      </c>
      <c r="K43" s="199" t="e">
        <f aca="false">IF('глубина-день'!#ref!="","",'глубина-день'!#ref!)</f>
        <v>#VALUE!</v>
      </c>
      <c r="L43" s="204" t="e">
        <f aca="false">IF('глубина-день'!#ref!="","",'глубина-день'!#ref!)</f>
        <v>#VALUE!</v>
      </c>
      <c r="M43" s="205"/>
      <c r="N43" s="199"/>
      <c r="O43" s="206"/>
      <c r="P43" s="180"/>
      <c r="Q43" s="180"/>
      <c r="R43" s="180"/>
      <c r="S43" s="180"/>
      <c r="W43" s="180"/>
      <c r="X43" s="180"/>
      <c r="Y43" s="180"/>
      <c r="Z43" s="180"/>
      <c r="AA43" s="180"/>
      <c r="AB43" s="180"/>
      <c r="AC43" s="180"/>
      <c r="AD43" s="180"/>
    </row>
    <row r="44" customFormat="false" ht="12" hidden="false" customHeight="true" outlineLevel="0" collapsed="false">
      <c r="A44" s="199" t="e">
        <f aca="false">IF('глубина-день'!#ref!="","",'глубина-день'!#ref!)</f>
        <v>#VALUE!</v>
      </c>
      <c r="B44" s="200" t="e">
        <f aca="false">IF('глубина-день'!#ref!="","",'глубина-день'!#ref!)</f>
        <v>#VALUE!</v>
      </c>
      <c r="C44" s="200" t="e">
        <f aca="false">IF('глубина-день'!#ref!="","",'глубина-день'!#ref!)</f>
        <v>#VALUE!</v>
      </c>
      <c r="D44" s="199" t="e">
        <f aca="false">IF('глубина-день'!#ref!="","",'глубина-день'!#ref!)</f>
        <v>#VALUE!</v>
      </c>
      <c r="E44" s="201" t="e">
        <f aca="false">IF('глубина-день'!#ref!="","",'глубина-день'!#ref!)</f>
        <v>#VALUE!</v>
      </c>
      <c r="F44" s="202" t="e">
        <f aca="false">IF('глубина-день'!#ref!="","",'глубина-день'!#ref!)</f>
        <v>#VALUE!</v>
      </c>
      <c r="G44" s="199" t="e">
        <f aca="false">IF('глубина-день'!#ref!="","",'глубина-день'!#ref!)</f>
        <v>#VALUE!</v>
      </c>
      <c r="H44" s="199" t="e">
        <f aca="false">IF('глубина-день'!#ref!="","",'глубина-день'!#ref!)</f>
        <v>#VALUE!</v>
      </c>
      <c r="I44" s="199" t="e">
        <f aca="false">IF('глубина-день'!#ref!="","",'глубина-день'!#ref!)</f>
        <v>#VALUE!</v>
      </c>
      <c r="J44" s="203" t="e">
        <f aca="false">IF('глубина-день'!#ref!="","",'глубина-день'!#ref!)</f>
        <v>#VALUE!</v>
      </c>
      <c r="K44" s="199" t="e">
        <f aca="false">IF('глубина-день'!#ref!="","",'глубина-день'!#ref!)</f>
        <v>#VALUE!</v>
      </c>
      <c r="L44" s="204" t="e">
        <f aca="false">IF('глубина-день'!#ref!="","",'глубина-день'!#ref!)</f>
        <v>#VALUE!</v>
      </c>
      <c r="M44" s="205"/>
      <c r="N44" s="199"/>
      <c r="O44" s="206"/>
      <c r="P44" s="180"/>
      <c r="Q44" s="180"/>
      <c r="R44" s="180"/>
      <c r="S44" s="180"/>
      <c r="W44" s="180"/>
      <c r="X44" s="180"/>
      <c r="Y44" s="180"/>
      <c r="Z44" s="180"/>
      <c r="AA44" s="180"/>
      <c r="AB44" s="180"/>
      <c r="AC44" s="180"/>
      <c r="AD44" s="180"/>
    </row>
    <row r="45" customFormat="false" ht="12" hidden="false" customHeight="true" outlineLevel="0" collapsed="false">
      <c r="A45" s="199" t="e">
        <f aca="false">IF('глубина-день'!#ref!="","",'глубина-день'!#ref!)</f>
        <v>#VALUE!</v>
      </c>
      <c r="B45" s="200" t="e">
        <f aca="false">IF('глубина-день'!#ref!="","",'глубина-день'!#ref!)</f>
        <v>#VALUE!</v>
      </c>
      <c r="C45" s="200" t="e">
        <f aca="false">IF('глубина-день'!#ref!="","",'глубина-день'!#ref!)</f>
        <v>#VALUE!</v>
      </c>
      <c r="D45" s="199" t="e">
        <f aca="false">IF('глубина-день'!#ref!="","",'глубина-день'!#ref!)</f>
        <v>#VALUE!</v>
      </c>
      <c r="E45" s="201" t="e">
        <f aca="false">IF('глубина-день'!#ref!="","",'глубина-день'!#ref!)</f>
        <v>#VALUE!</v>
      </c>
      <c r="F45" s="202" t="e">
        <f aca="false">IF('глубина-день'!#ref!="","",'глубина-день'!#ref!)</f>
        <v>#VALUE!</v>
      </c>
      <c r="G45" s="199" t="e">
        <f aca="false">IF('глубина-день'!#ref!="","",'глубина-день'!#ref!)</f>
        <v>#VALUE!</v>
      </c>
      <c r="H45" s="199" t="e">
        <f aca="false">IF('глубина-день'!#ref!="","",'глубина-день'!#ref!)</f>
        <v>#VALUE!</v>
      </c>
      <c r="I45" s="199" t="e">
        <f aca="false">IF('глубина-день'!#ref!="","",'глубина-день'!#ref!)</f>
        <v>#VALUE!</v>
      </c>
      <c r="J45" s="203" t="e">
        <f aca="false">IF('глубина-день'!#ref!="","",'глубина-день'!#ref!)</f>
        <v>#VALUE!</v>
      </c>
      <c r="K45" s="199" t="e">
        <f aca="false">IF('глубина-день'!#ref!="","",'глубина-день'!#ref!)</f>
        <v>#VALUE!</v>
      </c>
      <c r="L45" s="204" t="e">
        <f aca="false">IF('глубина-день'!#ref!="","",'глубина-день'!#ref!)</f>
        <v>#VALUE!</v>
      </c>
      <c r="M45" s="205"/>
      <c r="N45" s="199"/>
      <c r="O45" s="206"/>
      <c r="P45" s="180"/>
      <c r="Q45" s="180"/>
      <c r="R45" s="180"/>
      <c r="S45" s="180"/>
      <c r="W45" s="180"/>
      <c r="X45" s="180"/>
      <c r="Y45" s="180"/>
      <c r="Z45" s="180"/>
      <c r="AA45" s="180"/>
      <c r="AB45" s="180"/>
      <c r="AC45" s="180"/>
      <c r="AD45" s="180"/>
    </row>
    <row r="46" customFormat="false" ht="12" hidden="false" customHeight="true" outlineLevel="0" collapsed="false">
      <c r="A46" s="199" t="e">
        <f aca="false">IF('глубина-день'!#ref!="","",'глубина-день'!#ref!)</f>
        <v>#VALUE!</v>
      </c>
      <c r="B46" s="200" t="e">
        <f aca="false">IF('глубина-день'!#ref!="","",'глубина-день'!#ref!)</f>
        <v>#VALUE!</v>
      </c>
      <c r="C46" s="200" t="e">
        <f aca="false">IF('глубина-день'!#ref!="","",'глубина-день'!#ref!)</f>
        <v>#VALUE!</v>
      </c>
      <c r="D46" s="199" t="e">
        <f aca="false">IF('глубина-день'!#ref!="","",'глубина-день'!#ref!)</f>
        <v>#VALUE!</v>
      </c>
      <c r="E46" s="201" t="e">
        <f aca="false">IF('глубина-день'!#ref!="","",'глубина-день'!#ref!)</f>
        <v>#VALUE!</v>
      </c>
      <c r="F46" s="202" t="e">
        <f aca="false">IF('глубина-день'!#ref!="","",'глубина-день'!#ref!)</f>
        <v>#VALUE!</v>
      </c>
      <c r="G46" s="199" t="e">
        <f aca="false">IF('глубина-день'!#ref!="","",'глубина-день'!#ref!)</f>
        <v>#VALUE!</v>
      </c>
      <c r="H46" s="199" t="e">
        <f aca="false">IF('глубина-день'!#ref!="","",'глубина-день'!#ref!)</f>
        <v>#VALUE!</v>
      </c>
      <c r="I46" s="199" t="e">
        <f aca="false">IF('глубина-день'!#ref!="","",'глубина-день'!#ref!)</f>
        <v>#VALUE!</v>
      </c>
      <c r="J46" s="203" t="e">
        <f aca="false">IF('глубина-день'!#ref!="","",'глубина-день'!#ref!)</f>
        <v>#VALUE!</v>
      </c>
      <c r="K46" s="199" t="e">
        <f aca="false">IF('глубина-день'!#ref!="","",'глубина-день'!#ref!)</f>
        <v>#VALUE!</v>
      </c>
      <c r="L46" s="204" t="e">
        <f aca="false">IF('глубина-день'!#ref!="","",'глубина-день'!#ref!)</f>
        <v>#VALUE!</v>
      </c>
      <c r="M46" s="205"/>
      <c r="N46" s="199"/>
      <c r="O46" s="206"/>
      <c r="P46" s="180"/>
      <c r="Q46" s="180"/>
      <c r="R46" s="180"/>
      <c r="S46" s="180"/>
      <c r="W46" s="180"/>
      <c r="X46" s="180"/>
      <c r="Y46" s="180"/>
      <c r="Z46" s="180"/>
      <c r="AA46" s="180"/>
      <c r="AB46" s="180"/>
      <c r="AC46" s="180"/>
      <c r="AD46" s="180"/>
    </row>
    <row r="47" customFormat="false" ht="12" hidden="false" customHeight="true" outlineLevel="0" collapsed="false">
      <c r="A47" s="199" t="e">
        <f aca="false">IF('глубина-день'!#ref!="","",'глубина-день'!#ref!)</f>
        <v>#VALUE!</v>
      </c>
      <c r="B47" s="200" t="e">
        <f aca="false">IF('глубина-день'!#ref!="","",'глубина-день'!#ref!)</f>
        <v>#VALUE!</v>
      </c>
      <c r="C47" s="200" t="e">
        <f aca="false">IF('глубина-день'!#ref!="","",'глубина-день'!#ref!)</f>
        <v>#VALUE!</v>
      </c>
      <c r="D47" s="199" t="e">
        <f aca="false">IF('глубина-день'!#ref!="","",'глубина-день'!#ref!)</f>
        <v>#VALUE!</v>
      </c>
      <c r="E47" s="201" t="e">
        <f aca="false">IF('глубина-день'!#ref!="","",'глубина-день'!#ref!)</f>
        <v>#VALUE!</v>
      </c>
      <c r="F47" s="202" t="e">
        <f aca="false">IF('глубина-день'!#ref!="","",'глубина-день'!#ref!)</f>
        <v>#VALUE!</v>
      </c>
      <c r="G47" s="199" t="e">
        <f aca="false">IF('глубина-день'!#ref!="","",'глубина-день'!#ref!)</f>
        <v>#VALUE!</v>
      </c>
      <c r="H47" s="199" t="e">
        <f aca="false">IF('глубина-день'!#ref!="","",'глубина-день'!#ref!)</f>
        <v>#VALUE!</v>
      </c>
      <c r="I47" s="199" t="e">
        <f aca="false">IF('глубина-день'!#ref!="","",'глубина-день'!#ref!)</f>
        <v>#VALUE!</v>
      </c>
      <c r="J47" s="203" t="e">
        <f aca="false">IF('глубина-день'!#ref!="","",'глубина-день'!#ref!)</f>
        <v>#VALUE!</v>
      </c>
      <c r="K47" s="199" t="e">
        <f aca="false">IF('глубина-день'!#ref!="","",'глубина-день'!#ref!)</f>
        <v>#VALUE!</v>
      </c>
      <c r="L47" s="204" t="e">
        <f aca="false">IF('глубина-день'!#ref!="","",'глубина-день'!#ref!)</f>
        <v>#VALUE!</v>
      </c>
      <c r="M47" s="205"/>
      <c r="N47" s="199"/>
      <c r="O47" s="206"/>
      <c r="P47" s="180"/>
      <c r="Q47" s="180"/>
      <c r="R47" s="180"/>
      <c r="S47" s="180"/>
      <c r="W47" s="180"/>
      <c r="X47" s="180"/>
      <c r="Y47" s="180"/>
      <c r="Z47" s="180"/>
      <c r="AA47" s="180"/>
      <c r="AB47" s="180"/>
      <c r="AC47" s="180"/>
      <c r="AD47" s="180"/>
    </row>
    <row r="48" customFormat="false" ht="12" hidden="false" customHeight="true" outlineLevel="0" collapsed="false">
      <c r="A48" s="199" t="e">
        <f aca="false">IF('глубина-день'!#ref!="","",'глубина-день'!#ref!)</f>
        <v>#VALUE!</v>
      </c>
      <c r="B48" s="200" t="e">
        <f aca="false">IF('глубина-день'!#ref!="","",'глубина-день'!#ref!)</f>
        <v>#VALUE!</v>
      </c>
      <c r="C48" s="200" t="e">
        <f aca="false">IF('глубина-день'!#ref!="","",'глубина-день'!#ref!)</f>
        <v>#VALUE!</v>
      </c>
      <c r="D48" s="199" t="e">
        <f aca="false">IF('глубина-день'!#ref!="","",'глубина-день'!#ref!)</f>
        <v>#VALUE!</v>
      </c>
      <c r="E48" s="201" t="e">
        <f aca="false">IF('глубина-день'!#ref!="","",'глубина-день'!#ref!)</f>
        <v>#VALUE!</v>
      </c>
      <c r="F48" s="202" t="e">
        <f aca="false">IF('глубина-день'!#ref!="","",'глубина-день'!#ref!)</f>
        <v>#VALUE!</v>
      </c>
      <c r="G48" s="199" t="e">
        <f aca="false">IF('глубина-день'!#ref!="","",'глубина-день'!#ref!)</f>
        <v>#VALUE!</v>
      </c>
      <c r="H48" s="199" t="e">
        <f aca="false">IF('глубина-день'!#ref!="","",'глубина-день'!#ref!)</f>
        <v>#VALUE!</v>
      </c>
      <c r="I48" s="199" t="e">
        <f aca="false">IF('глубина-день'!#ref!="","",'глубина-день'!#ref!)</f>
        <v>#VALUE!</v>
      </c>
      <c r="J48" s="203" t="e">
        <f aca="false">IF('глубина-день'!#ref!="","",'глубина-день'!#ref!)</f>
        <v>#VALUE!</v>
      </c>
      <c r="K48" s="199" t="e">
        <f aca="false">IF('глубина-день'!#ref!="","",'глубина-день'!#ref!)</f>
        <v>#VALUE!</v>
      </c>
      <c r="L48" s="204" t="e">
        <f aca="false">IF('глубина-день'!#ref!="","",'глубина-день'!#ref!)</f>
        <v>#VALUE!</v>
      </c>
      <c r="M48" s="205"/>
      <c r="N48" s="199"/>
      <c r="O48" s="206"/>
      <c r="P48" s="180"/>
      <c r="Q48" s="180"/>
      <c r="R48" s="180"/>
      <c r="S48" s="180"/>
      <c r="W48" s="180"/>
      <c r="X48" s="180"/>
      <c r="Y48" s="180"/>
      <c r="Z48" s="180"/>
      <c r="AA48" s="180"/>
      <c r="AB48" s="180"/>
      <c r="AC48" s="180"/>
      <c r="AD48" s="180"/>
    </row>
    <row r="49" customFormat="false" ht="12" hidden="false" customHeight="true" outlineLevel="0" collapsed="false">
      <c r="A49" s="199" t="e">
        <f aca="false">IF('глубина-день'!#ref!="","",'глубина-день'!#ref!)</f>
        <v>#VALUE!</v>
      </c>
      <c r="B49" s="200" t="e">
        <f aca="false">IF('глубина-день'!#ref!="","",'глубина-день'!#ref!)</f>
        <v>#VALUE!</v>
      </c>
      <c r="C49" s="200" t="e">
        <f aca="false">IF('глубина-день'!#ref!="","",'глубина-день'!#ref!)</f>
        <v>#VALUE!</v>
      </c>
      <c r="D49" s="199" t="e">
        <f aca="false">IF('глубина-день'!#ref!="","",'глубина-день'!#ref!)</f>
        <v>#VALUE!</v>
      </c>
      <c r="E49" s="201" t="e">
        <f aca="false">IF('глубина-день'!#ref!="","",'глубина-день'!#ref!)</f>
        <v>#VALUE!</v>
      </c>
      <c r="F49" s="202" t="e">
        <f aca="false">IF('глубина-день'!#ref!="","",'глубина-день'!#ref!)</f>
        <v>#VALUE!</v>
      </c>
      <c r="G49" s="199" t="e">
        <f aca="false">IF('глубина-день'!#ref!="","",'глубина-день'!#ref!)</f>
        <v>#VALUE!</v>
      </c>
      <c r="H49" s="199" t="e">
        <f aca="false">IF('глубина-день'!#ref!="","",'глубина-день'!#ref!)</f>
        <v>#VALUE!</v>
      </c>
      <c r="I49" s="199" t="e">
        <f aca="false">IF('глубина-день'!#ref!="","",'глубина-день'!#ref!)</f>
        <v>#VALUE!</v>
      </c>
      <c r="J49" s="203" t="e">
        <f aca="false">IF('глубина-день'!#ref!="","",'глубина-день'!#ref!)</f>
        <v>#VALUE!</v>
      </c>
      <c r="K49" s="199" t="e">
        <f aca="false">IF('глубина-день'!#ref!="","",'глубина-день'!#ref!)</f>
        <v>#VALUE!</v>
      </c>
      <c r="L49" s="204" t="e">
        <f aca="false">IF('глубина-день'!#ref!="","",'глубина-день'!#ref!)</f>
        <v>#VALUE!</v>
      </c>
      <c r="M49" s="205"/>
      <c r="N49" s="199"/>
      <c r="O49" s="206"/>
      <c r="P49" s="180"/>
      <c r="Q49" s="180"/>
      <c r="R49" s="180"/>
      <c r="S49" s="180"/>
      <c r="W49" s="180"/>
      <c r="X49" s="180"/>
      <c r="Y49" s="180"/>
      <c r="Z49" s="180"/>
      <c r="AA49" s="180"/>
      <c r="AB49" s="180"/>
      <c r="AC49" s="180"/>
      <c r="AD49" s="180"/>
    </row>
    <row r="50" customFormat="false" ht="12" hidden="false" customHeight="true" outlineLevel="0" collapsed="false">
      <c r="A50" s="199" t="n">
        <f aca="false">IF('Глубина-день'!A61="","",'Глубина-день'!A61)</f>
        <v>42</v>
      </c>
      <c r="B50" s="200" t="str">
        <f aca="false">IF('Глубина-день'!B61="","",'Глубина-день'!B61)</f>
        <v>Вспомогательные работы</v>
      </c>
      <c r="C50" s="200" t="str">
        <f aca="false">IF('Глубина-день'!C61="","",'Глубина-день'!C61)</f>
        <v>ПЗР к спуску ОК-178мм.</v>
      </c>
      <c r="D50" s="199" t="n">
        <f aca="false">IF('Глубина-день'!E61="","",'Глубина-день'!E61)</f>
        <v>178</v>
      </c>
      <c r="E50" s="201" t="str">
        <f aca="false">IF('Глубина-день'!F61="","",'Глубина-день'!F61)</f>
        <v/>
      </c>
      <c r="F50" s="202" t="str">
        <f aca="false">IF('Глубина-день'!G61="","",'Глубина-день'!G61)</f>
        <v/>
      </c>
      <c r="G50" s="199" t="e">
        <f aca="false">IF('глубина-день'!#ref!="","",'глубина-день'!#ref!)</f>
        <v>#VALUE!</v>
      </c>
      <c r="H50" s="199" t="n">
        <f aca="false">IF('Глубина-день'!H61="","",'Глубина-день'!H61)</f>
        <v>3286</v>
      </c>
      <c r="I50" s="199" t="n">
        <f aca="false">IF('Глубина-день'!I61="","",'Глубина-день'!I61)</f>
        <v>1</v>
      </c>
      <c r="J50" s="203" t="n">
        <f aca="false">IF('Глубина-день'!J61="","",'Глубина-день'!J61)</f>
        <v>45500.7083333333</v>
      </c>
      <c r="K50" s="199" t="n">
        <f aca="false">IF('Глубина-день'!R61="","",'Глубина-день'!R61)</f>
        <v>1</v>
      </c>
      <c r="L50" s="204" t="e">
        <f aca="false">IF('глубина-день'!#ref!="","",'глубина-день'!#ref!)</f>
        <v>#VALUE!</v>
      </c>
      <c r="M50" s="205"/>
      <c r="N50" s="199"/>
      <c r="O50" s="206"/>
      <c r="P50" s="180"/>
      <c r="Q50" s="180"/>
      <c r="R50" s="180"/>
      <c r="S50" s="180"/>
      <c r="W50" s="180"/>
      <c r="X50" s="180"/>
      <c r="Y50" s="180"/>
      <c r="Z50" s="180"/>
      <c r="AA50" s="180"/>
      <c r="AB50" s="180"/>
      <c r="AC50" s="180"/>
      <c r="AD50" s="180"/>
    </row>
    <row r="51" customFormat="false" ht="12" hidden="false" customHeight="true" outlineLevel="0" collapsed="false">
      <c r="A51" s="199" t="e">
        <f aca="false">IF('глубина-день'!#ref!="","",'глубина-день'!#ref!)</f>
        <v>#VALUE!</v>
      </c>
      <c r="B51" s="200" t="e">
        <f aca="false">IF('глубина-день'!#ref!="","",'глубина-день'!#ref!)</f>
        <v>#VALUE!</v>
      </c>
      <c r="C51" s="200" t="e">
        <f aca="false">IF('глубина-день'!#ref!="","",'глубина-день'!#ref!)</f>
        <v>#VALUE!</v>
      </c>
      <c r="D51" s="199" t="e">
        <f aca="false">IF('глубина-день'!#ref!="","",'глубина-день'!#ref!)</f>
        <v>#VALUE!</v>
      </c>
      <c r="E51" s="201" t="e">
        <f aca="false">IF('глубина-день'!#ref!="","",'глубина-день'!#ref!)</f>
        <v>#VALUE!</v>
      </c>
      <c r="F51" s="202" t="e">
        <f aca="false">IF('глубина-день'!#ref!="","",'глубина-день'!#ref!)</f>
        <v>#VALUE!</v>
      </c>
      <c r="G51" s="199" t="e">
        <f aca="false">IF('глубина-день'!#ref!="","",'глубина-день'!#ref!)</f>
        <v>#VALUE!</v>
      </c>
      <c r="H51" s="199" t="e">
        <f aca="false">IF('глубина-день'!#ref!="","",'глубина-день'!#ref!)</f>
        <v>#VALUE!</v>
      </c>
      <c r="I51" s="199" t="e">
        <f aca="false">IF('глубина-день'!#ref!="","",'глубина-день'!#ref!)</f>
        <v>#VALUE!</v>
      </c>
      <c r="J51" s="203" t="e">
        <f aca="false">IF('глубина-день'!#ref!="","",'глубина-день'!#ref!)</f>
        <v>#VALUE!</v>
      </c>
      <c r="K51" s="199" t="e">
        <f aca="false">IF('глубина-день'!#ref!="","",'глубина-день'!#ref!)</f>
        <v>#VALUE!</v>
      </c>
      <c r="L51" s="204" t="e">
        <f aca="false">IF('глубина-день'!#ref!="","",'глубина-день'!#ref!)</f>
        <v>#VALUE!</v>
      </c>
      <c r="M51" s="205"/>
      <c r="N51" s="199"/>
      <c r="O51" s="206"/>
      <c r="P51" s="180"/>
      <c r="Q51" s="180"/>
      <c r="R51" s="180"/>
      <c r="S51" s="180"/>
      <c r="W51" s="180"/>
      <c r="X51" s="180"/>
      <c r="Y51" s="180"/>
      <c r="Z51" s="180"/>
      <c r="AA51" s="180"/>
      <c r="AB51" s="180"/>
      <c r="AC51" s="180"/>
      <c r="AD51" s="180"/>
    </row>
    <row r="52" customFormat="false" ht="12" hidden="false" customHeight="true" outlineLevel="0" collapsed="false">
      <c r="A52" s="199" t="e">
        <f aca="false">IF('глубина-день'!#ref!="","",'глубина-день'!#ref!)</f>
        <v>#VALUE!</v>
      </c>
      <c r="B52" s="200" t="e">
        <f aca="false">IF('глубина-день'!#ref!="","",'глубина-день'!#ref!)</f>
        <v>#VALUE!</v>
      </c>
      <c r="C52" s="200" t="e">
        <f aca="false">IF('глубина-день'!#ref!="","",'глубина-день'!#ref!)</f>
        <v>#VALUE!</v>
      </c>
      <c r="D52" s="199" t="e">
        <f aca="false">IF('глубина-день'!#ref!="","",'глубина-день'!#ref!)</f>
        <v>#VALUE!</v>
      </c>
      <c r="E52" s="201" t="e">
        <f aca="false">IF('глубина-день'!#ref!="","",'глубина-день'!#ref!)</f>
        <v>#VALUE!</v>
      </c>
      <c r="F52" s="202" t="e">
        <f aca="false">IF('глубина-день'!#ref!="","",'глубина-день'!#ref!)</f>
        <v>#VALUE!</v>
      </c>
      <c r="G52" s="199" t="e">
        <f aca="false">IF('глубина-день'!#ref!="","",'глубина-день'!#ref!)</f>
        <v>#VALUE!</v>
      </c>
      <c r="H52" s="199" t="e">
        <f aca="false">IF('глубина-день'!#ref!="","",'глубина-день'!#ref!)</f>
        <v>#VALUE!</v>
      </c>
      <c r="I52" s="199" t="e">
        <f aca="false">IF('глубина-день'!#ref!="","",'глубина-день'!#ref!)</f>
        <v>#VALUE!</v>
      </c>
      <c r="J52" s="203" t="e">
        <f aca="false">IF('глубина-день'!#ref!="","",'глубина-день'!#ref!)</f>
        <v>#VALUE!</v>
      </c>
      <c r="K52" s="199" t="e">
        <f aca="false">IF('глубина-день'!#ref!="","",'глубина-день'!#ref!)</f>
        <v>#VALUE!</v>
      </c>
      <c r="L52" s="204" t="e">
        <f aca="false">IF('глубина-день'!#ref!="","",'глубина-день'!#ref!)</f>
        <v>#VALUE!</v>
      </c>
      <c r="M52" s="205"/>
      <c r="N52" s="199"/>
      <c r="O52" s="206"/>
      <c r="P52" s="180"/>
      <c r="Q52" s="180"/>
      <c r="R52" s="180"/>
      <c r="S52" s="180"/>
      <c r="W52" s="180"/>
      <c r="X52" s="180"/>
      <c r="Y52" s="180"/>
      <c r="Z52" s="180"/>
      <c r="AA52" s="180"/>
      <c r="AB52" s="180"/>
      <c r="AC52" s="180"/>
      <c r="AD52" s="180"/>
    </row>
    <row r="53" customFormat="false" ht="12" hidden="false" customHeight="true" outlineLevel="0" collapsed="false">
      <c r="A53" s="199" t="e">
        <f aca="false">IF('глубина-день'!#ref!="","",'глубина-день'!#ref!)</f>
        <v>#VALUE!</v>
      </c>
      <c r="B53" s="200" t="e">
        <f aca="false">IF('глубина-день'!#ref!="","",'глубина-день'!#ref!)</f>
        <v>#VALUE!</v>
      </c>
      <c r="C53" s="200" t="e">
        <f aca="false">IF('глубина-день'!#ref!="","",'глубина-день'!#ref!)</f>
        <v>#VALUE!</v>
      </c>
      <c r="D53" s="199" t="e">
        <f aca="false">IF('глубина-день'!#ref!="","",'глубина-день'!#ref!)</f>
        <v>#VALUE!</v>
      </c>
      <c r="E53" s="201" t="e">
        <f aca="false">IF('глубина-день'!#ref!="","",'глубина-день'!#ref!)</f>
        <v>#VALUE!</v>
      </c>
      <c r="F53" s="202" t="e">
        <f aca="false">IF('глубина-день'!#ref!="","",'глубина-день'!#ref!)</f>
        <v>#VALUE!</v>
      </c>
      <c r="G53" s="199" t="e">
        <f aca="false">IF('глубина-день'!#ref!="","",'глубина-день'!#ref!)</f>
        <v>#VALUE!</v>
      </c>
      <c r="H53" s="199" t="e">
        <f aca="false">IF('глубина-день'!#ref!="","",'глубина-день'!#ref!)</f>
        <v>#VALUE!</v>
      </c>
      <c r="I53" s="199" t="e">
        <f aca="false">IF('глубина-день'!#ref!="","",'глубина-день'!#ref!)</f>
        <v>#VALUE!</v>
      </c>
      <c r="J53" s="203" t="e">
        <f aca="false">IF('глубина-день'!#ref!="","",'глубина-день'!#ref!)</f>
        <v>#VALUE!</v>
      </c>
      <c r="K53" s="199" t="e">
        <f aca="false">IF('глубина-день'!#ref!="","",'глубина-день'!#ref!)</f>
        <v>#VALUE!</v>
      </c>
      <c r="L53" s="204" t="e">
        <f aca="false">IF('глубина-день'!#ref!="","",'глубина-день'!#ref!)</f>
        <v>#VALUE!</v>
      </c>
      <c r="M53" s="205"/>
      <c r="N53" s="199"/>
      <c r="O53" s="206"/>
      <c r="P53" s="180"/>
      <c r="Q53" s="180"/>
      <c r="R53" s="180"/>
      <c r="S53" s="180"/>
      <c r="W53" s="180"/>
      <c r="X53" s="180"/>
      <c r="Y53" s="180"/>
      <c r="Z53" s="180"/>
      <c r="AA53" s="180"/>
      <c r="AB53" s="180"/>
      <c r="AC53" s="180"/>
      <c r="AD53" s="180"/>
    </row>
    <row r="54" customFormat="false" ht="12" hidden="false" customHeight="true" outlineLevel="0" collapsed="false">
      <c r="A54" s="199" t="e">
        <f aca="false">IF('глубина-день'!#ref!="","",'глубина-день'!#ref!)</f>
        <v>#VALUE!</v>
      </c>
      <c r="B54" s="200" t="e">
        <f aca="false">IF('глубина-день'!#ref!="","",'глубина-день'!#ref!)</f>
        <v>#VALUE!</v>
      </c>
      <c r="C54" s="200" t="e">
        <f aca="false">IF('глубина-день'!#ref!="","",'глубина-день'!#ref!)</f>
        <v>#VALUE!</v>
      </c>
      <c r="D54" s="199" t="e">
        <f aca="false">IF('глубина-день'!#ref!="","",'глубина-день'!#ref!)</f>
        <v>#VALUE!</v>
      </c>
      <c r="E54" s="201" t="e">
        <f aca="false">IF('глубина-день'!#ref!="","",'глубина-день'!#ref!)</f>
        <v>#VALUE!</v>
      </c>
      <c r="F54" s="202" t="e">
        <f aca="false">IF('глубина-день'!#ref!="","",'глубина-день'!#ref!)</f>
        <v>#VALUE!</v>
      </c>
      <c r="G54" s="199" t="e">
        <f aca="false">IF('глубина-день'!#ref!="","",'глубина-день'!#ref!)</f>
        <v>#VALUE!</v>
      </c>
      <c r="H54" s="199" t="e">
        <f aca="false">IF('глубина-день'!#ref!="","",'глубина-день'!#ref!)</f>
        <v>#VALUE!</v>
      </c>
      <c r="I54" s="199" t="e">
        <f aca="false">IF('глубина-день'!#ref!="","",'глубина-день'!#ref!)</f>
        <v>#VALUE!</v>
      </c>
      <c r="J54" s="203" t="e">
        <f aca="false">IF('глубина-день'!#ref!="","",'глубина-день'!#ref!)</f>
        <v>#VALUE!</v>
      </c>
      <c r="K54" s="199" t="e">
        <f aca="false">IF('глубина-день'!#ref!="","",'глубина-день'!#ref!)</f>
        <v>#VALUE!</v>
      </c>
      <c r="L54" s="204" t="e">
        <f aca="false">IF('глубина-день'!#ref!="","",'глубина-день'!#ref!)</f>
        <v>#VALUE!</v>
      </c>
      <c r="M54" s="205"/>
      <c r="N54" s="199"/>
      <c r="O54" s="206"/>
      <c r="P54" s="180"/>
      <c r="Q54" s="180"/>
      <c r="R54" s="180"/>
      <c r="S54" s="180"/>
      <c r="W54" s="180"/>
      <c r="X54" s="180"/>
      <c r="Y54" s="180"/>
      <c r="Z54" s="180"/>
      <c r="AA54" s="180"/>
      <c r="AB54" s="180"/>
      <c r="AC54" s="180"/>
      <c r="AD54" s="180"/>
    </row>
    <row r="55" customFormat="false" ht="12" hidden="false" customHeight="true" outlineLevel="0" collapsed="false">
      <c r="A55" s="199" t="e">
        <f aca="false">IF('глубина-день'!#ref!="","",'глубина-день'!#ref!)</f>
        <v>#VALUE!</v>
      </c>
      <c r="B55" s="200" t="e">
        <f aca="false">IF('глубина-день'!#ref!="","",'глубина-день'!#ref!)</f>
        <v>#VALUE!</v>
      </c>
      <c r="C55" s="200" t="e">
        <f aca="false">IF('глубина-день'!#ref!="","",'глубина-день'!#ref!)</f>
        <v>#VALUE!</v>
      </c>
      <c r="D55" s="199" t="e">
        <f aca="false">IF('глубина-день'!#ref!="","",'глубина-день'!#ref!)</f>
        <v>#VALUE!</v>
      </c>
      <c r="E55" s="201" t="e">
        <f aca="false">IF('глубина-день'!#ref!="","",'глубина-день'!#ref!)</f>
        <v>#VALUE!</v>
      </c>
      <c r="F55" s="202" t="e">
        <f aca="false">IF('глубина-день'!#ref!="","",'глубина-день'!#ref!)</f>
        <v>#VALUE!</v>
      </c>
      <c r="G55" s="199" t="e">
        <f aca="false">IF('глубина-день'!#ref!="","",'глубина-день'!#ref!)</f>
        <v>#VALUE!</v>
      </c>
      <c r="H55" s="199" t="e">
        <f aca="false">IF('глубина-день'!#ref!="","",'глубина-день'!#ref!)</f>
        <v>#VALUE!</v>
      </c>
      <c r="I55" s="199" t="e">
        <f aca="false">IF('глубина-день'!#ref!="","",'глубина-день'!#ref!)</f>
        <v>#VALUE!</v>
      </c>
      <c r="J55" s="203" t="e">
        <f aca="false">IF('глубина-день'!#ref!="","",'глубина-день'!#ref!)</f>
        <v>#VALUE!</v>
      </c>
      <c r="K55" s="199" t="e">
        <f aca="false">IF('глубина-день'!#ref!="","",'глубина-день'!#ref!)</f>
        <v>#VALUE!</v>
      </c>
      <c r="L55" s="204" t="e">
        <f aca="false">IF('глубина-день'!#ref!="","",'глубина-день'!#ref!)</f>
        <v>#VALUE!</v>
      </c>
      <c r="M55" s="205"/>
      <c r="N55" s="199"/>
      <c r="O55" s="206"/>
      <c r="P55" s="180"/>
      <c r="Q55" s="180"/>
      <c r="R55" s="180"/>
      <c r="S55" s="180"/>
      <c r="W55" s="180"/>
      <c r="X55" s="180"/>
      <c r="Y55" s="180"/>
      <c r="Z55" s="180"/>
      <c r="AA55" s="180"/>
      <c r="AB55" s="180"/>
      <c r="AC55" s="180"/>
      <c r="AD55" s="180"/>
    </row>
    <row r="56" customFormat="false" ht="12" hidden="false" customHeight="true" outlineLevel="0" collapsed="false">
      <c r="A56" s="199" t="n">
        <f aca="false">IF('Глубина-день'!A62="","",'Глубина-день'!A62)</f>
        <v>43</v>
      </c>
      <c r="B56" s="200" t="str">
        <f aca="false">IF('Глубина-день'!B62="","",'Глубина-день'!B62)</f>
        <v>Крепление</v>
      </c>
      <c r="C56" s="200" t="str">
        <f aca="false">IF('Глубина-день'!C62="","",'Глубина-день'!C62)</f>
        <v>Спуск ОК 178 мм с промежуточными промывками</v>
      </c>
      <c r="D56" s="199" t="n">
        <f aca="false">IF('Глубина-день'!E62="","",'Глубина-день'!E62)</f>
        <v>178</v>
      </c>
      <c r="E56" s="201" t="n">
        <f aca="false">IF('Глубина-день'!F62="","",'Глубина-день'!F62)</f>
        <v>0</v>
      </c>
      <c r="F56" s="202" t="n">
        <f aca="false">IF('Глубина-день'!G62="","",'Глубина-день'!G62)</f>
        <v>3300</v>
      </c>
      <c r="G56" s="199" t="e">
        <f aca="false">IF('глубина-день'!#ref!="","",'глубина-день'!#ref!)</f>
        <v>#VALUE!</v>
      </c>
      <c r="H56" s="199" t="n">
        <f aca="false">IF('Глубина-день'!H62="","",'Глубина-день'!H62)</f>
        <v>3286</v>
      </c>
      <c r="I56" s="199" t="n">
        <f aca="false">IF('Глубина-день'!I62="","",'Глубина-день'!I62)</f>
        <v>19</v>
      </c>
      <c r="J56" s="203" t="n">
        <f aca="false">IF('Глубина-день'!J62="","",'Глубина-день'!J62)</f>
        <v>45501.5</v>
      </c>
      <c r="K56" s="199" t="n">
        <f aca="false">IF('Глубина-день'!R62="","",'Глубина-день'!R62)</f>
        <v>19</v>
      </c>
      <c r="L56" s="204" t="e">
        <f aca="false">IF('глубина-день'!#ref!="","",'глубина-день'!#ref!)</f>
        <v>#VALUE!</v>
      </c>
      <c r="M56" s="205"/>
      <c r="N56" s="199"/>
      <c r="O56" s="206"/>
      <c r="P56" s="180"/>
      <c r="Q56" s="180"/>
      <c r="R56" s="180"/>
      <c r="S56" s="180"/>
      <c r="W56" s="180"/>
      <c r="X56" s="180"/>
      <c r="Y56" s="180"/>
      <c r="Z56" s="180"/>
      <c r="AA56" s="180"/>
      <c r="AB56" s="180"/>
      <c r="AC56" s="180"/>
      <c r="AD56" s="180"/>
    </row>
    <row r="57" customFormat="false" ht="12" hidden="false" customHeight="true" outlineLevel="0" collapsed="false">
      <c r="A57" s="199" t="n">
        <f aca="false">IF('Глубина-день'!A63="","",'Глубина-день'!A63)</f>
        <v>44</v>
      </c>
      <c r="B57" s="200" t="str">
        <f aca="false">IF('Глубина-день'!B63="","",'Глубина-день'!B63)</f>
        <v>Циркуляция и Обработка БР</v>
      </c>
      <c r="C57" s="200" t="str">
        <f aca="false">IF('Глубина-день'!C63="","",'Глубина-день'!C63)</f>
        <v>Промывка перед цементированием ОК-178мм</v>
      </c>
      <c r="D57" s="199" t="n">
        <f aca="false">IF('Глубина-день'!E63="","",'Глубина-день'!E63)</f>
        <v>178</v>
      </c>
      <c r="E57" s="201" t="str">
        <f aca="false">IF('Глубина-день'!F63="","",'Глубина-день'!F63)</f>
        <v/>
      </c>
      <c r="F57" s="202" t="str">
        <f aca="false">IF('Глубина-день'!G63="","",'Глубина-день'!G63)</f>
        <v/>
      </c>
      <c r="G57" s="199" t="e">
        <f aca="false">IF('глубина-день'!#ref!="","",'глубина-день'!#ref!)</f>
        <v>#VALUE!</v>
      </c>
      <c r="H57" s="199" t="n">
        <f aca="false">IF('Глубина-день'!H63="","",'Глубина-день'!H63)</f>
        <v>3286</v>
      </c>
      <c r="I57" s="199" t="n">
        <f aca="false">IF('Глубина-день'!I63="","",'Глубина-день'!I63)</f>
        <v>3</v>
      </c>
      <c r="J57" s="203" t="n">
        <f aca="false">IF('Глубина-день'!J63="","",'Глубина-день'!J63)</f>
        <v>45501.625</v>
      </c>
      <c r="K57" s="199" t="n">
        <f aca="false">IF('Глубина-день'!R63="","",'Глубина-день'!R63)</f>
        <v>3</v>
      </c>
      <c r="L57" s="204" t="e">
        <f aca="false">IF('глубина-день'!#ref!="","",'глубина-день'!#ref!)</f>
        <v>#VALUE!</v>
      </c>
      <c r="M57" s="205"/>
      <c r="N57" s="199"/>
      <c r="O57" s="206"/>
      <c r="P57" s="180"/>
      <c r="Q57" s="180"/>
      <c r="R57" s="180"/>
      <c r="S57" s="180"/>
      <c r="W57" s="180"/>
      <c r="X57" s="180"/>
      <c r="Y57" s="180"/>
      <c r="Z57" s="180"/>
      <c r="AA57" s="180"/>
      <c r="AB57" s="180"/>
      <c r="AC57" s="180"/>
      <c r="AD57" s="180"/>
    </row>
    <row r="58" customFormat="false" ht="12" hidden="false" customHeight="true" outlineLevel="0" collapsed="false">
      <c r="A58" s="199" t="n">
        <f aca="false">IF('Глубина-день'!A64="","",'Глубина-день'!A64)</f>
        <v>45</v>
      </c>
      <c r="B58" s="200" t="str">
        <f aca="false">IF('Глубина-день'!B64="","",'Глубина-день'!B64)</f>
        <v>Крепление</v>
      </c>
      <c r="C58" s="200" t="str">
        <f aca="false">IF('Глубина-день'!C64="","",'Глубина-день'!C64)</f>
        <v>Цементирование ОК-178мм</v>
      </c>
      <c r="D58" s="199" t="n">
        <f aca="false">IF('Глубина-день'!E64="","",'Глубина-день'!E64)</f>
        <v>178</v>
      </c>
      <c r="E58" s="201" t="str">
        <f aca="false">IF('Глубина-день'!F64="","",'Глубина-день'!F64)</f>
        <v/>
      </c>
      <c r="F58" s="202" t="str">
        <f aca="false">IF('Глубина-день'!G64="","",'Глубина-день'!G64)</f>
        <v/>
      </c>
      <c r="G58" s="199" t="e">
        <f aca="false">IF('глубина-день'!#ref!="","",'глубина-день'!#ref!)</f>
        <v>#VALUE!</v>
      </c>
      <c r="H58" s="199" t="n">
        <f aca="false">IF('Глубина-день'!H64="","",'Глубина-день'!H64)</f>
        <v>3286</v>
      </c>
      <c r="I58" s="199" t="n">
        <f aca="false">IF('Глубина-день'!I64="","",'Глубина-день'!I64)</f>
        <v>3</v>
      </c>
      <c r="J58" s="203" t="n">
        <f aca="false">IF('Глубина-день'!J64="","",'Глубина-день'!J64)</f>
        <v>45501.75</v>
      </c>
      <c r="K58" s="199" t="n">
        <f aca="false">IF('Глубина-день'!R64="","",'Глубина-день'!R64)</f>
        <v>3</v>
      </c>
      <c r="L58" s="204" t="e">
        <f aca="false">IF('глубина-день'!#ref!="","",'глубина-день'!#ref!)</f>
        <v>#VALUE!</v>
      </c>
      <c r="M58" s="205"/>
      <c r="N58" s="199"/>
      <c r="O58" s="206"/>
      <c r="P58" s="180"/>
      <c r="Q58" s="180"/>
      <c r="R58" s="180"/>
      <c r="S58" s="180"/>
      <c r="W58" s="180"/>
      <c r="X58" s="180"/>
      <c r="Y58" s="180"/>
      <c r="Z58" s="180"/>
      <c r="AA58" s="180"/>
      <c r="AB58" s="180"/>
      <c r="AC58" s="180"/>
      <c r="AD58" s="180"/>
    </row>
    <row r="59" customFormat="false" ht="12" hidden="false" customHeight="true" outlineLevel="0" collapsed="false">
      <c r="A59" s="199" t="n">
        <f aca="false">IF('Глубина-день'!A65="","",'Глубина-день'!A65)</f>
        <v>46</v>
      </c>
      <c r="B59" s="200" t="str">
        <f aca="false">IF('Глубина-день'!B65="","",'Глубина-день'!B65)</f>
        <v>ПВО/Вспомогательные работы</v>
      </c>
      <c r="C59" s="200" t="str">
        <f aca="false">IF('Глубина-день'!C65="","",'Глубина-день'!C65)</f>
        <v>Демонтаж ПВО/Чистка емкостей, вывоз БР, заготовка БР. выброс БИ</v>
      </c>
      <c r="D59" s="199" t="n">
        <f aca="false">IF('Глубина-день'!E65="","",'Глубина-день'!E65)</f>
        <v>178</v>
      </c>
      <c r="E59" s="201" t="str">
        <f aca="false">IF('Глубина-день'!F65="","",'Глубина-день'!F65)</f>
        <v/>
      </c>
      <c r="F59" s="202" t="str">
        <f aca="false">IF('Глубина-день'!G65="","",'Глубина-день'!G65)</f>
        <v/>
      </c>
      <c r="G59" s="199" t="e">
        <f aca="false">IF('глубина-день'!#ref!="","",'глубина-день'!#ref!)</f>
        <v>#VALUE!</v>
      </c>
      <c r="H59" s="199" t="n">
        <f aca="false">IF('Глубина-день'!H65="","",'Глубина-день'!H65)</f>
        <v>3286</v>
      </c>
      <c r="I59" s="199" t="n">
        <f aca="false">IF('Глубина-день'!I65="","",'Глубина-день'!I65)</f>
        <v>26</v>
      </c>
      <c r="J59" s="203" t="n">
        <f aca="false">IF('Глубина-день'!J65="","",'Глубина-день'!J65)</f>
        <v>45502.8333333333</v>
      </c>
      <c r="K59" s="199" t="n">
        <f aca="false">IF('Глубина-день'!R65="","",'Глубина-день'!R65)</f>
        <v>26</v>
      </c>
      <c r="L59" s="204" t="e">
        <f aca="false">IF('глубина-день'!#ref!="","",'глубина-день'!#ref!)</f>
        <v>#VALUE!</v>
      </c>
      <c r="M59" s="205"/>
      <c r="N59" s="199"/>
      <c r="O59" s="206"/>
      <c r="P59" s="180"/>
      <c r="Q59" s="180"/>
      <c r="R59" s="180"/>
      <c r="S59" s="180"/>
      <c r="W59" s="180"/>
      <c r="X59" s="180"/>
      <c r="Y59" s="180"/>
      <c r="Z59" s="180"/>
      <c r="AA59" s="180"/>
      <c r="AB59" s="180"/>
      <c r="AC59" s="180"/>
      <c r="AD59" s="180"/>
    </row>
    <row r="60" customFormat="false" ht="12" hidden="false" customHeight="true" outlineLevel="0" collapsed="false">
      <c r="A60" s="199" t="n">
        <f aca="false">IF('Глубина-день'!A66="","",'Глубина-день'!A66)</f>
        <v>47</v>
      </c>
      <c r="B60" s="200" t="str">
        <f aca="false">IF('Глубина-день'!B66="","",'Глубина-день'!B66)</f>
        <v>Вспомогательные работы</v>
      </c>
      <c r="C60" s="200" t="str">
        <f aca="false">IF('Глубина-день'!C66="","",'Глубина-день'!C66)</f>
        <v>Монтаж ПВО повторный (смена плашек ПВО), ЗБР, чистка емкостей, вывоз БР,</v>
      </c>
      <c r="D60" s="199" t="n">
        <f aca="false">IF('Глубина-день'!E66="","",'Глубина-день'!E66)</f>
        <v>178</v>
      </c>
      <c r="E60" s="201" t="str">
        <f aca="false">IF('Глубина-день'!F66="","",'Глубина-день'!F66)</f>
        <v/>
      </c>
      <c r="F60" s="202" t="str">
        <f aca="false">IF('Глубина-день'!G66="","",'Глубина-день'!G66)</f>
        <v/>
      </c>
      <c r="G60" s="199" t="e">
        <f aca="false">IF('глубина-день'!#ref!="","",'глубина-день'!#ref!)</f>
        <v>#VALUE!</v>
      </c>
      <c r="H60" s="199" t="n">
        <f aca="false">IF('Глубина-день'!H66="","",'Глубина-день'!H66)</f>
        <v>3286</v>
      </c>
      <c r="I60" s="199" t="n">
        <f aca="false">IF('Глубина-день'!I66="","",'Глубина-день'!I66)</f>
        <v>6</v>
      </c>
      <c r="J60" s="203" t="n">
        <f aca="false">IF('Глубина-день'!J66="","",'Глубина-день'!J66)</f>
        <v>45503.0833333333</v>
      </c>
      <c r="K60" s="199" t="n">
        <f aca="false">IF('Глубина-день'!R66="","",'Глубина-день'!R66)</f>
        <v>6</v>
      </c>
      <c r="L60" s="204" t="e">
        <f aca="false">IF('глубина-день'!#ref!="","",'глубина-день'!#ref!)</f>
        <v>#VALUE!</v>
      </c>
      <c r="M60" s="205"/>
      <c r="N60" s="199"/>
      <c r="O60" s="206"/>
      <c r="P60" s="180"/>
      <c r="Q60" s="180"/>
      <c r="R60" s="180"/>
      <c r="S60" s="180"/>
      <c r="W60" s="180"/>
      <c r="X60" s="180"/>
      <c r="Y60" s="180"/>
      <c r="Z60" s="180"/>
      <c r="AA60" s="180"/>
      <c r="AB60" s="180"/>
      <c r="AC60" s="180"/>
      <c r="AD60" s="180"/>
    </row>
    <row r="61" customFormat="false" ht="12" hidden="false" customHeight="true" outlineLevel="0" collapsed="false">
      <c r="A61" s="199" t="n">
        <f aca="false">IF('Глубина-день'!A67="","",'Глубина-день'!A67)</f>
        <v>48</v>
      </c>
      <c r="B61" s="200" t="str">
        <f aca="false">IF('Глубина-день'!B67="","",'Глубина-день'!B67)</f>
        <v>Опрессовка/Вспомогательные работы</v>
      </c>
      <c r="C61" s="200" t="str">
        <f aca="false">IF('Глубина-день'!C67="","",'Глубина-день'!C67)</f>
        <v>Опрессовка ПВО, (глухие)  / Сборка БИ-102 (1250м) с мостков.Установка на подсвечник. Заготовка БР</v>
      </c>
      <c r="D61" s="199" t="n">
        <f aca="false">IF('Глубина-день'!E67="","",'Глубина-день'!E67)</f>
        <v>178</v>
      </c>
      <c r="E61" s="201" t="n">
        <f aca="false">IF('Глубина-день'!F67="","",'Глубина-день'!F67)</f>
        <v>1000</v>
      </c>
      <c r="F61" s="202" t="n">
        <f aca="false">IF('Глубина-день'!G67="","",'Глубина-день'!G67)</f>
        <v>0</v>
      </c>
      <c r="G61" s="199" t="e">
        <f aca="false">IF('глубина-день'!#ref!="","",'глубина-день'!#ref!)</f>
        <v>#VALUE!</v>
      </c>
      <c r="H61" s="199" t="n">
        <f aca="false">IF('Глубина-день'!H67="","",'Глубина-день'!H67)</f>
        <v>3286</v>
      </c>
      <c r="I61" s="199" t="n">
        <f aca="false">IF('Глубина-день'!I67="","",'Глубина-день'!I67)</f>
        <v>12</v>
      </c>
      <c r="J61" s="203" t="n">
        <f aca="false">IF('Глубина-день'!J67="","",'Глубина-день'!J67)</f>
        <v>45503.5833333333</v>
      </c>
      <c r="K61" s="199" t="n">
        <f aca="false">IF('Глубина-день'!R67="","",'Глубина-день'!R67)</f>
        <v>12</v>
      </c>
      <c r="L61" s="204" t="e">
        <f aca="false">IF('глубина-день'!#ref!="","",'глубина-день'!#ref!)</f>
        <v>#VALUE!</v>
      </c>
      <c r="M61" s="205"/>
      <c r="N61" s="199"/>
      <c r="O61" s="206"/>
      <c r="P61" s="180"/>
      <c r="Q61" s="180"/>
      <c r="R61" s="180"/>
      <c r="S61" s="180"/>
      <c r="W61" s="180"/>
      <c r="X61" s="180"/>
      <c r="Y61" s="180"/>
      <c r="Z61" s="180"/>
      <c r="AA61" s="180"/>
      <c r="AB61" s="180"/>
      <c r="AC61" s="180"/>
      <c r="AD61" s="180"/>
    </row>
    <row r="62" customFormat="false" ht="12" hidden="false" customHeight="true" outlineLevel="0" collapsed="false">
      <c r="A62" s="199" t="n">
        <f aca="false">IF('Глубина-день'!A68="","",'Глубина-день'!A68)</f>
        <v>49</v>
      </c>
      <c r="B62" s="200" t="str">
        <f aca="false">IF('Глубина-день'!B68="","",'Глубина-день'!B68)</f>
        <v>Вспомогательные работы</v>
      </c>
      <c r="C62" s="200" t="str">
        <f aca="false">IF('Глубина-день'!C68="","",'Глубина-день'!C68)</f>
        <v>Перетяжка талевого каната</v>
      </c>
      <c r="D62" s="199" t="n">
        <f aca="false">IF('Глубина-день'!E68="","",'Глубина-день'!E68)</f>
        <v>178</v>
      </c>
      <c r="E62" s="201" t="str">
        <f aca="false">IF('Глубина-день'!F68="","",'Глубина-день'!F68)</f>
        <v/>
      </c>
      <c r="F62" s="202" t="str">
        <f aca="false">IF('Глубина-день'!G68="","",'Глубина-день'!G68)</f>
        <v/>
      </c>
      <c r="G62" s="199" t="e">
        <f aca="false">IF('глубина-день'!#ref!="","",'глубина-день'!#ref!)</f>
        <v>#VALUE!</v>
      </c>
      <c r="H62" s="199" t="n">
        <f aca="false">IF('Глубина-день'!H68="","",'Глубина-день'!H68)</f>
        <v>3286</v>
      </c>
      <c r="I62" s="199" t="n">
        <f aca="false">IF('Глубина-день'!I68="","",'Глубина-день'!I68)</f>
        <v>6</v>
      </c>
      <c r="J62" s="203" t="n">
        <f aca="false">IF('Глубина-день'!J68="","",'Глубина-день'!J68)</f>
        <v>45503.8333333333</v>
      </c>
      <c r="K62" s="199" t="n">
        <f aca="false">IF('Глубина-день'!R68="","",'Глубина-день'!R68)</f>
        <v>6</v>
      </c>
      <c r="L62" s="204" t="e">
        <f aca="false">IF('глубина-день'!#ref!="","",'глубина-день'!#ref!)</f>
        <v>#VALUE!</v>
      </c>
      <c r="M62" s="205"/>
      <c r="N62" s="199"/>
      <c r="O62" s="206"/>
      <c r="P62" s="180"/>
      <c r="Q62" s="180"/>
      <c r="R62" s="180"/>
      <c r="S62" s="180"/>
      <c r="W62" s="180"/>
      <c r="X62" s="180"/>
      <c r="Y62" s="180"/>
      <c r="Z62" s="180"/>
      <c r="AA62" s="180"/>
      <c r="AB62" s="180"/>
      <c r="AC62" s="180"/>
      <c r="AD62" s="180"/>
    </row>
    <row r="63" customFormat="false" ht="12" hidden="false" customHeight="true" outlineLevel="0" collapsed="false">
      <c r="A63" s="199" t="e">
        <f aca="false">IF('глубина-день'!#ref!="","",'глубина-день'!#ref!)</f>
        <v>#VALUE!</v>
      </c>
      <c r="B63" s="200" t="e">
        <f aca="false">IF('глубина-день'!#ref!="","",'глубина-день'!#ref!)</f>
        <v>#VALUE!</v>
      </c>
      <c r="C63" s="200" t="e">
        <f aca="false">IF('глубина-день'!#ref!="","",'глубина-день'!#ref!)</f>
        <v>#VALUE!</v>
      </c>
      <c r="D63" s="199" t="e">
        <f aca="false">IF('глубина-день'!#ref!="","",'глубина-день'!#ref!)</f>
        <v>#VALUE!</v>
      </c>
      <c r="E63" s="201" t="e">
        <f aca="false">IF('глубина-день'!#ref!="","",'глубина-день'!#ref!)</f>
        <v>#VALUE!</v>
      </c>
      <c r="F63" s="202" t="e">
        <f aca="false">IF('глубина-день'!#ref!="","",'глубина-день'!#ref!)</f>
        <v>#VALUE!</v>
      </c>
      <c r="G63" s="199" t="e">
        <f aca="false">IF('глубина-день'!#ref!="","",'глубина-день'!#ref!)</f>
        <v>#VALUE!</v>
      </c>
      <c r="H63" s="199" t="e">
        <f aca="false">IF('глубина-день'!#ref!="","",'глубина-день'!#ref!)</f>
        <v>#VALUE!</v>
      </c>
      <c r="I63" s="199" t="e">
        <f aca="false">IF('глубина-день'!#ref!="","",'глубина-день'!#ref!)</f>
        <v>#VALUE!</v>
      </c>
      <c r="J63" s="203" t="e">
        <f aca="false">IF('глубина-день'!#ref!="","",'глубина-день'!#ref!)</f>
        <v>#VALUE!</v>
      </c>
      <c r="K63" s="199" t="e">
        <f aca="false">IF('глубина-день'!#ref!="","",'глубина-день'!#ref!)</f>
        <v>#VALUE!</v>
      </c>
      <c r="L63" s="204" t="e">
        <f aca="false">IF('глубина-день'!#ref!="","",'глубина-день'!#ref!)</f>
        <v>#VALUE!</v>
      </c>
      <c r="M63" s="205"/>
      <c r="N63" s="199"/>
      <c r="O63" s="206"/>
      <c r="P63" s="180"/>
      <c r="Q63" s="180"/>
      <c r="R63" s="180"/>
      <c r="S63" s="180"/>
      <c r="W63" s="180"/>
      <c r="X63" s="180"/>
      <c r="Y63" s="180"/>
      <c r="Z63" s="180"/>
      <c r="AA63" s="180"/>
      <c r="AB63" s="180"/>
      <c r="AC63" s="180"/>
      <c r="AD63" s="180"/>
    </row>
    <row r="64" customFormat="false" ht="12" hidden="false" customHeight="true" outlineLevel="0" collapsed="false">
      <c r="A64" s="199" t="e">
        <f aca="false">IF('глубина-день'!#ref!="","",'глубина-день'!#ref!)</f>
        <v>#VALUE!</v>
      </c>
      <c r="B64" s="200" t="e">
        <f aca="false">IF('глубина-день'!#ref!="","",'глубина-день'!#ref!)</f>
        <v>#VALUE!</v>
      </c>
      <c r="C64" s="200" t="e">
        <f aca="false">IF('глубина-день'!#ref!="","",'глубина-день'!#ref!)</f>
        <v>#VALUE!</v>
      </c>
      <c r="D64" s="199" t="e">
        <f aca="false">IF('глубина-день'!#ref!="","",'глубина-день'!#ref!)</f>
        <v>#VALUE!</v>
      </c>
      <c r="E64" s="201" t="e">
        <f aca="false">IF('глубина-день'!#ref!="","",'глубина-день'!#ref!)</f>
        <v>#VALUE!</v>
      </c>
      <c r="F64" s="202" t="e">
        <f aca="false">IF('глубина-день'!#ref!="","",'глубина-день'!#ref!)</f>
        <v>#VALUE!</v>
      </c>
      <c r="G64" s="199" t="e">
        <f aca="false">IF('глубина-день'!#ref!="","",'глубина-день'!#ref!)</f>
        <v>#VALUE!</v>
      </c>
      <c r="H64" s="199" t="e">
        <f aca="false">IF('глубина-день'!#ref!="","",'глубина-день'!#ref!)</f>
        <v>#VALUE!</v>
      </c>
      <c r="I64" s="199" t="e">
        <f aca="false">IF('глубина-день'!#ref!="","",'глубина-день'!#ref!)</f>
        <v>#VALUE!</v>
      </c>
      <c r="J64" s="203" t="e">
        <f aca="false">IF('глубина-день'!#ref!="","",'глубина-день'!#ref!)</f>
        <v>#VALUE!</v>
      </c>
      <c r="K64" s="199" t="e">
        <f aca="false">IF('глубина-день'!#ref!="","",'глубина-день'!#ref!)</f>
        <v>#VALUE!</v>
      </c>
      <c r="L64" s="204" t="e">
        <f aca="false">IF('глубина-день'!#ref!="","",'глубина-день'!#ref!)</f>
        <v>#VALUE!</v>
      </c>
      <c r="M64" s="205"/>
      <c r="N64" s="199"/>
      <c r="O64" s="206"/>
      <c r="P64" s="180"/>
      <c r="Q64" s="180"/>
      <c r="R64" s="180"/>
      <c r="S64" s="180"/>
      <c r="W64" s="180"/>
      <c r="X64" s="180"/>
      <c r="Y64" s="180"/>
      <c r="Z64" s="180"/>
      <c r="AA64" s="180"/>
      <c r="AB64" s="180"/>
      <c r="AC64" s="180"/>
      <c r="AD64" s="180"/>
    </row>
    <row r="65" customFormat="false" ht="12" hidden="false" customHeight="true" outlineLevel="0" collapsed="false">
      <c r="A65" s="199" t="e">
        <f aca="false">IF('глубина-день'!#ref!="","",'глубина-день'!#ref!)</f>
        <v>#VALUE!</v>
      </c>
      <c r="B65" s="200" t="e">
        <f aca="false">IF('глубина-день'!#ref!="","",'глубина-день'!#ref!)</f>
        <v>#VALUE!</v>
      </c>
      <c r="C65" s="200" t="e">
        <f aca="false">IF('глубина-день'!#ref!="","",'глубина-день'!#ref!)</f>
        <v>#VALUE!</v>
      </c>
      <c r="D65" s="199" t="e">
        <f aca="false">IF('глубина-день'!#ref!="","",'глубина-день'!#ref!)</f>
        <v>#VALUE!</v>
      </c>
      <c r="E65" s="201" t="e">
        <f aca="false">IF('глубина-день'!#ref!="","",'глубина-день'!#ref!)</f>
        <v>#VALUE!</v>
      </c>
      <c r="F65" s="202" t="e">
        <f aca="false">IF('глубина-день'!#ref!="","",'глубина-день'!#ref!)</f>
        <v>#VALUE!</v>
      </c>
      <c r="G65" s="199" t="e">
        <f aca="false">IF('глубина-день'!#ref!="","",'глубина-день'!#ref!)</f>
        <v>#VALUE!</v>
      </c>
      <c r="H65" s="199" t="e">
        <f aca="false">IF('глубина-день'!#ref!="","",'глубина-день'!#ref!)</f>
        <v>#VALUE!</v>
      </c>
      <c r="I65" s="199" t="e">
        <f aca="false">IF('глубина-день'!#ref!="","",'глубина-день'!#ref!)</f>
        <v>#VALUE!</v>
      </c>
      <c r="J65" s="203" t="e">
        <f aca="false">IF('глубина-день'!#ref!="","",'глубина-день'!#ref!)</f>
        <v>#VALUE!</v>
      </c>
      <c r="K65" s="199" t="e">
        <f aca="false">IF('глубина-день'!#ref!="","",'глубина-день'!#ref!)</f>
        <v>#VALUE!</v>
      </c>
      <c r="L65" s="204" t="e">
        <f aca="false">IF('глубина-день'!#ref!="","",'глубина-день'!#ref!)</f>
        <v>#VALUE!</v>
      </c>
      <c r="M65" s="205"/>
      <c r="N65" s="199"/>
      <c r="O65" s="206"/>
      <c r="P65" s="180"/>
      <c r="Q65" s="180"/>
      <c r="R65" s="180"/>
      <c r="S65" s="180"/>
      <c r="W65" s="180"/>
      <c r="X65" s="180"/>
      <c r="Y65" s="180"/>
      <c r="Z65" s="180"/>
      <c r="AA65" s="180"/>
      <c r="AB65" s="180"/>
      <c r="AC65" s="180"/>
      <c r="AD65" s="180"/>
    </row>
    <row r="66" customFormat="false" ht="12" hidden="false" customHeight="true" outlineLevel="0" collapsed="false">
      <c r="A66" s="199" t="e">
        <f aca="false">IF('глубина-день'!#ref!="","",'глубина-день'!#ref!)</f>
        <v>#VALUE!</v>
      </c>
      <c r="B66" s="200" t="e">
        <f aca="false">IF('глубина-день'!#ref!="","",'глубина-день'!#ref!)</f>
        <v>#VALUE!</v>
      </c>
      <c r="C66" s="200" t="e">
        <f aca="false">IF('глубина-день'!#ref!="","",'глубина-день'!#ref!)</f>
        <v>#VALUE!</v>
      </c>
      <c r="D66" s="199" t="e">
        <f aca="false">IF('глубина-день'!#ref!="","",'глубина-день'!#ref!)</f>
        <v>#VALUE!</v>
      </c>
      <c r="E66" s="201" t="e">
        <f aca="false">IF('глубина-день'!#ref!="","",'глубина-день'!#ref!)</f>
        <v>#VALUE!</v>
      </c>
      <c r="F66" s="202" t="e">
        <f aca="false">IF('глубина-день'!#ref!="","",'глубина-день'!#ref!)</f>
        <v>#VALUE!</v>
      </c>
      <c r="G66" s="199" t="e">
        <f aca="false">IF('глубина-день'!#ref!="","",'глубина-день'!#ref!)</f>
        <v>#VALUE!</v>
      </c>
      <c r="H66" s="199" t="e">
        <f aca="false">IF('глубина-день'!#ref!="","",'глубина-день'!#ref!)</f>
        <v>#VALUE!</v>
      </c>
      <c r="I66" s="199" t="e">
        <f aca="false">IF('глубина-день'!#ref!="","",'глубина-день'!#ref!)</f>
        <v>#VALUE!</v>
      </c>
      <c r="J66" s="203" t="e">
        <f aca="false">IF('глубина-день'!#ref!="","",'глубина-день'!#ref!)</f>
        <v>#VALUE!</v>
      </c>
      <c r="K66" s="199" t="e">
        <f aca="false">IF('глубина-день'!#ref!="","",'глубина-день'!#ref!)</f>
        <v>#VALUE!</v>
      </c>
      <c r="L66" s="204" t="e">
        <f aca="false">IF('глубина-день'!#ref!="","",'глубина-день'!#ref!)</f>
        <v>#VALUE!</v>
      </c>
      <c r="M66" s="205"/>
      <c r="N66" s="199"/>
      <c r="O66" s="206"/>
      <c r="P66" s="180"/>
      <c r="Q66" s="180"/>
      <c r="R66" s="180"/>
      <c r="S66" s="180"/>
      <c r="W66" s="180"/>
      <c r="X66" s="180"/>
      <c r="Y66" s="180"/>
      <c r="Z66" s="180"/>
      <c r="AA66" s="180"/>
      <c r="AB66" s="180"/>
      <c r="AC66" s="180"/>
      <c r="AD66" s="180"/>
    </row>
    <row r="67" customFormat="false" ht="12" hidden="false" customHeight="true" outlineLevel="0" collapsed="false">
      <c r="A67" s="199" t="n">
        <f aca="false">IF('Глубина-день'!A74="","",'Глубина-день'!A74)</f>
        <v>55</v>
      </c>
      <c r="B67" s="200" t="str">
        <f aca="false">IF('Глубина-день'!B74="","",'Глубина-день'!B74)</f>
        <v>Бурение</v>
      </c>
      <c r="C67" s="200" t="str">
        <f aca="false">IF('Глубина-день'!C74="","",'Глубина-день'!C74)</f>
        <v>Бурение горизонтального участка скважины (прокачка укрепляющих пачек ч/з каждые 100м)</v>
      </c>
      <c r="D67" s="199" t="n">
        <f aca="false">IF('Глубина-день'!E74="","",'Глубина-день'!E74)</f>
        <v>114</v>
      </c>
      <c r="E67" s="201" t="n">
        <f aca="false">IF('Глубина-день'!F74="","",'Глубина-день'!F74)</f>
        <v>3300</v>
      </c>
      <c r="F67" s="202" t="n">
        <f aca="false">IF('Глубина-день'!G74="","",'Глубина-день'!G74)</f>
        <v>4449</v>
      </c>
      <c r="G67" s="199" t="e">
        <f aca="false">IF('глубина-день'!#ref!="","",'глубина-день'!#ref!)</f>
        <v>#VALUE!</v>
      </c>
      <c r="H67" s="199" t="n">
        <f aca="false">IF('Глубина-день'!H74="","",'Глубина-день'!H74)</f>
        <v>4449</v>
      </c>
      <c r="I67" s="199" t="n">
        <f aca="false">IF('Глубина-день'!I74="","",'Глубина-день'!I74)</f>
        <v>105</v>
      </c>
      <c r="J67" s="203" t="n">
        <f aca="false">IF('Глубина-день'!J74="","",'Глубина-день'!J74)</f>
        <v>45509.4166666667</v>
      </c>
      <c r="K67" s="199" t="n">
        <f aca="false">IF('Глубина-день'!R74="","",'Глубина-день'!R74)</f>
        <v>105</v>
      </c>
      <c r="L67" s="204" t="e">
        <f aca="false">IF('глубина-день'!#ref!="","",'глубина-день'!#ref!)</f>
        <v>#VALUE!</v>
      </c>
      <c r="M67" s="205"/>
      <c r="N67" s="199"/>
      <c r="O67" s="206"/>
      <c r="P67" s="180"/>
      <c r="Q67" s="180"/>
      <c r="R67" s="180"/>
      <c r="S67" s="180"/>
      <c r="W67" s="180"/>
      <c r="X67" s="180"/>
      <c r="Y67" s="180"/>
      <c r="Z67" s="180"/>
      <c r="AA67" s="180"/>
      <c r="AB67" s="180"/>
      <c r="AC67" s="180"/>
      <c r="AD67" s="180"/>
    </row>
    <row r="68" customFormat="false" ht="12" hidden="false" customHeight="true" outlineLevel="0" collapsed="false">
      <c r="A68" s="199" t="n">
        <f aca="false">IF('Глубина-день'!A75="","",'Глубина-день'!A75)</f>
        <v>56</v>
      </c>
      <c r="B68" s="200" t="str">
        <f aca="false">IF('Глубина-день'!B75="","",'Глубина-день'!B75)</f>
        <v>Циркуляция и Обработка БР</v>
      </c>
      <c r="C68" s="200" t="str">
        <f aca="false">IF('Глубина-день'!C75="","",'Глубина-день'!C75)</f>
        <v>Промывка на забое</v>
      </c>
      <c r="D68" s="199" t="n">
        <f aca="false">IF('Глубина-день'!E75="","",'Глубина-день'!E75)</f>
        <v>114</v>
      </c>
      <c r="E68" s="201" t="str">
        <f aca="false">IF('Глубина-день'!F75="","",'Глубина-день'!F75)</f>
        <v/>
      </c>
      <c r="F68" s="202" t="str">
        <f aca="false">IF('Глубина-день'!G75="","",'Глубина-день'!G75)</f>
        <v/>
      </c>
      <c r="G68" s="199" t="e">
        <f aca="false">IF('глубина-день'!#ref!="","",'глубина-день'!#ref!)</f>
        <v>#VALUE!</v>
      </c>
      <c r="H68" s="199" t="n">
        <f aca="false">IF('Глубина-день'!H75="","",'Глубина-день'!H75)</f>
        <v>4449</v>
      </c>
      <c r="I68" s="199" t="n">
        <f aca="false">IF('Глубина-день'!I75="","",'Глубина-день'!I75)</f>
        <v>3</v>
      </c>
      <c r="J68" s="203" t="n">
        <f aca="false">IF('Глубина-день'!J75="","",'Глубина-день'!J75)</f>
        <v>45509.5416666667</v>
      </c>
      <c r="K68" s="199" t="n">
        <f aca="false">IF('Глубина-день'!R75="","",'Глубина-день'!R75)</f>
        <v>3</v>
      </c>
      <c r="L68" s="204" t="e">
        <f aca="false">IF('глубина-день'!#ref!="","",'глубина-день'!#ref!)</f>
        <v>#VALUE!</v>
      </c>
      <c r="M68" s="205"/>
      <c r="N68" s="199"/>
      <c r="O68" s="206"/>
      <c r="P68" s="180"/>
      <c r="Q68" s="180"/>
      <c r="R68" s="180"/>
      <c r="S68" s="180"/>
      <c r="W68" s="180"/>
      <c r="X68" s="180"/>
      <c r="Y68" s="180"/>
      <c r="Z68" s="180"/>
      <c r="AA68" s="180"/>
      <c r="AB68" s="180"/>
      <c r="AC68" s="180"/>
      <c r="AD68" s="180"/>
    </row>
    <row r="69" customFormat="false" ht="12" hidden="false" customHeight="true" outlineLevel="0" collapsed="false">
      <c r="A69" s="199" t="n">
        <f aca="false">IF('Глубина-день'!A76="","",'Глубина-день'!A76)</f>
        <v>57</v>
      </c>
      <c r="B69" s="200" t="str">
        <f aca="false">IF('Глубина-день'!B76="","",'Глубина-день'!B76)</f>
        <v>СПО</v>
      </c>
      <c r="C69" s="200" t="str">
        <f aca="false">IF('Глубина-день'!C76="","",'Глубина-день'!C76)</f>
        <v>Подъем КНБК в БК ТК, Сборка недостающего кол-ва ТБТ под спуск хвостовика (кол-во по согласованию с ЦУСС).</v>
      </c>
      <c r="D69" s="199" t="n">
        <f aca="false">IF('Глубина-день'!E76="","",'Глубина-день'!E76)</f>
        <v>114</v>
      </c>
      <c r="E69" s="201" t="n">
        <f aca="false">IF('Глубина-день'!F76="","",'Глубина-день'!F76)</f>
        <v>4449</v>
      </c>
      <c r="F69" s="202" t="n">
        <f aca="false">IF('Глубина-день'!G76="","",'Глубина-день'!G76)</f>
        <v>3300</v>
      </c>
      <c r="G69" s="199" t="e">
        <f aca="false">IF('глубина-день'!#ref!="","",'глубина-день'!#ref!)</f>
        <v>#VALUE!</v>
      </c>
      <c r="H69" s="199" t="n">
        <f aca="false">IF('Глубина-день'!H76="","",'Глубина-день'!H76)</f>
        <v>4449</v>
      </c>
      <c r="I69" s="199" t="n">
        <f aca="false">IF('Глубина-день'!I76="","",'Глубина-день'!I76)</f>
        <v>9</v>
      </c>
      <c r="J69" s="203" t="n">
        <f aca="false">IF('Глубина-день'!J76="","",'Глубина-день'!J76)</f>
        <v>45509.9166666667</v>
      </c>
      <c r="K69" s="199" t="n">
        <f aca="false">IF('Глубина-день'!R76="","",'Глубина-день'!R76)</f>
        <v>9</v>
      </c>
      <c r="L69" s="204" t="e">
        <f aca="false">IF('глубина-день'!#ref!="","",'глубина-день'!#ref!)</f>
        <v>#VALUE!</v>
      </c>
      <c r="M69" s="205"/>
      <c r="N69" s="199"/>
      <c r="O69" s="206"/>
      <c r="P69" s="180"/>
      <c r="Q69" s="180"/>
      <c r="R69" s="180"/>
      <c r="S69" s="180"/>
      <c r="W69" s="180"/>
      <c r="X69" s="180"/>
      <c r="Y69" s="180"/>
      <c r="Z69" s="180"/>
      <c r="AA69" s="180"/>
      <c r="AB69" s="180"/>
      <c r="AC69" s="180"/>
      <c r="AD69" s="180"/>
    </row>
    <row r="70" customFormat="false" ht="12" hidden="false" customHeight="true" outlineLevel="0" collapsed="false">
      <c r="A70" s="199" t="n">
        <f aca="false">IF('Глубина-день'!A83="","",'Глубина-день'!A83)</f>
        <v>64</v>
      </c>
      <c r="B70" s="200" t="str">
        <f aca="false">IF('Глубина-день'!B83="","",'Глубина-день'!B83)</f>
        <v>Крепление</v>
      </c>
      <c r="C70" s="200" t="str">
        <f aca="false">IF('Глубина-день'!C83="","",'Глубина-день'!C83)</f>
        <v>Спуск хвостовика 114мм на БИ</v>
      </c>
      <c r="D70" s="199" t="n">
        <f aca="false">IF('Глубина-день'!E83="","",'Глубина-день'!E83)</f>
        <v>114</v>
      </c>
      <c r="E70" s="201" t="n">
        <f aca="false">IF('Глубина-день'!F83="","",'Глубина-день'!F83)</f>
        <v>0</v>
      </c>
      <c r="F70" s="202" t="n">
        <f aca="false">IF('Глубина-день'!G83="","",'Глубина-день'!G83)</f>
        <v>4449</v>
      </c>
      <c r="G70" s="199" t="e">
        <f aca="false">IF('глубина-день'!#ref!="","",'глубина-день'!#ref!)</f>
        <v>#VALUE!</v>
      </c>
      <c r="H70" s="199" t="n">
        <f aca="false">IF('Глубина-день'!H83="","",'Глубина-день'!H83)</f>
        <v>4449</v>
      </c>
      <c r="I70" s="199" t="n">
        <f aca="false">IF('Глубина-день'!I83="","",'Глубина-день'!I83)</f>
        <v>13</v>
      </c>
      <c r="J70" s="203" t="n">
        <f aca="false">IF('Глубина-день'!J83="","",'Глубина-день'!J83)</f>
        <v>45513.0416666667</v>
      </c>
      <c r="K70" s="199" t="n">
        <f aca="false">IF('Глубина-день'!R83="","",'Глубина-день'!R83)</f>
        <v>13</v>
      </c>
      <c r="L70" s="204" t="e">
        <f aca="false">IF('глубина-день'!#ref!="","",'глубина-день'!#ref!)</f>
        <v>#VALUE!</v>
      </c>
      <c r="M70" s="205"/>
      <c r="N70" s="199"/>
      <c r="O70" s="206"/>
      <c r="P70" s="180"/>
      <c r="Q70" s="180"/>
      <c r="R70" s="180"/>
      <c r="S70" s="180"/>
      <c r="W70" s="180"/>
      <c r="X70" s="180"/>
      <c r="Y70" s="180"/>
      <c r="Z70" s="180"/>
      <c r="AA70" s="180"/>
      <c r="AB70" s="180"/>
      <c r="AC70" s="180"/>
      <c r="AD70" s="180"/>
    </row>
    <row r="71" customFormat="false" ht="12" hidden="false" customHeight="true" outlineLevel="0" collapsed="false">
      <c r="A71" s="199" t="n">
        <f aca="false">IF('Глубина-день'!A84="","",'Глубина-день'!A84)</f>
        <v>65</v>
      </c>
      <c r="B71" s="200" t="str">
        <f aca="false">IF('Глубина-день'!B84="","",'Глубина-день'!B84)</f>
        <v>Циркуляция и Обработка БР</v>
      </c>
      <c r="C71" s="200" t="str">
        <f aca="false">IF('Глубина-день'!C84="","",'Глубина-день'!C84)</f>
        <v>Промывка</v>
      </c>
      <c r="D71" s="199" t="n">
        <f aca="false">IF('Глубина-день'!E84="","",'Глубина-день'!E84)</f>
        <v>114</v>
      </c>
      <c r="E71" s="201" t="str">
        <f aca="false">IF('Глубина-день'!F84="","",'Глубина-день'!F84)</f>
        <v/>
      </c>
      <c r="F71" s="202" t="str">
        <f aca="false">IF('Глубина-день'!G84="","",'Глубина-день'!G84)</f>
        <v/>
      </c>
      <c r="G71" s="199" t="e">
        <f aca="false">IF('глубина-день'!#ref!="","",'глубина-день'!#ref!)</f>
        <v>#VALUE!</v>
      </c>
      <c r="H71" s="199" t="n">
        <f aca="false">IF('Глубина-день'!H84="","",'Глубина-день'!H84)</f>
        <v>4449</v>
      </c>
      <c r="I71" s="199" t="n">
        <f aca="false">IF('Глубина-день'!I84="","",'Глубина-день'!I84)</f>
        <v>4</v>
      </c>
      <c r="J71" s="203" t="n">
        <f aca="false">IF('Глубина-день'!J84="","",'Глубина-день'!J84)</f>
        <v>45513.2083333333</v>
      </c>
      <c r="K71" s="199" t="n">
        <f aca="false">IF('Глубина-день'!R84="","",'Глубина-день'!R84)</f>
        <v>4</v>
      </c>
      <c r="L71" s="204" t="e">
        <f aca="false">IF('глубина-день'!#ref!="","",'глубина-день'!#ref!)</f>
        <v>#VALUE!</v>
      </c>
      <c r="M71" s="205"/>
      <c r="N71" s="199"/>
      <c r="O71" s="206"/>
      <c r="P71" s="180"/>
      <c r="Q71" s="180"/>
      <c r="R71" s="180"/>
      <c r="S71" s="180"/>
      <c r="W71" s="180"/>
      <c r="X71" s="180"/>
      <c r="Y71" s="180"/>
      <c r="Z71" s="180"/>
      <c r="AA71" s="180"/>
      <c r="AB71" s="180"/>
      <c r="AC71" s="180"/>
      <c r="AD71" s="180"/>
    </row>
    <row r="72" customFormat="false" ht="12" hidden="false" customHeight="true" outlineLevel="0" collapsed="false">
      <c r="A72" s="199" t="e">
        <f aca="false">IF('глубина-день'!#ref!="","",'глубина-день'!#ref!)</f>
        <v>#VALUE!</v>
      </c>
      <c r="B72" s="200" t="str">
        <f aca="false">IF('Глубина-день'!B85="","",'Глубина-день'!B85)</f>
        <v>Циркуляция и Обработка БР</v>
      </c>
      <c r="C72" s="200" t="e">
        <f aca="false">IF('глубина-день'!#ref!="","",'глубина-день'!#ref!)</f>
        <v>#VALUE!</v>
      </c>
      <c r="D72" s="199" t="e">
        <f aca="false">IF('глубина-день'!#ref!="","",'глубина-день'!#ref!)</f>
        <v>#VALUE!</v>
      </c>
      <c r="E72" s="201" t="e">
        <f aca="false">IF('глубина-день'!#ref!="","",'глубина-день'!#ref!)</f>
        <v>#VALUE!</v>
      </c>
      <c r="F72" s="202" t="e">
        <f aca="false">IF('глубина-день'!#ref!="","",'глубина-день'!#ref!)</f>
        <v>#VALUE!</v>
      </c>
      <c r="G72" s="199" t="e">
        <f aca="false">IF('глубина-день'!#ref!="","",'глубина-день'!#ref!)</f>
        <v>#VALUE!</v>
      </c>
      <c r="H72" s="199" t="e">
        <f aca="false">IF('глубина-день'!#ref!="","",'глубина-день'!#ref!)</f>
        <v>#VALUE!</v>
      </c>
      <c r="I72" s="199" t="e">
        <f aca="false">IF('глубина-день'!#ref!="","",'глубина-день'!#ref!)</f>
        <v>#VALUE!</v>
      </c>
      <c r="J72" s="203" t="e">
        <f aca="false">IF('глубина-день'!#ref!="","",'глубина-день'!#ref!)</f>
        <v>#VALUE!</v>
      </c>
      <c r="K72" s="199" t="e">
        <f aca="false">IF('глубина-день'!#ref!="","",'глубина-день'!#ref!)</f>
        <v>#VALUE!</v>
      </c>
      <c r="L72" s="204" t="e">
        <f aca="false">IF('глубина-день'!#ref!="","",'глубина-день'!#ref!)</f>
        <v>#VALUE!</v>
      </c>
      <c r="M72" s="205"/>
      <c r="N72" s="199"/>
      <c r="O72" s="206"/>
      <c r="P72" s="180"/>
      <c r="Q72" s="180"/>
      <c r="R72" s="180"/>
      <c r="S72" s="180"/>
      <c r="W72" s="180"/>
      <c r="X72" s="180"/>
      <c r="Y72" s="180"/>
      <c r="Z72" s="180"/>
      <c r="AA72" s="180"/>
      <c r="AB72" s="180"/>
      <c r="AC72" s="180"/>
      <c r="AD72" s="180"/>
    </row>
    <row r="73" customFormat="false" ht="12" hidden="false" customHeight="true" outlineLevel="0" collapsed="false">
      <c r="A73" s="199" t="n">
        <f aca="false">IF('Глубина-день'!A86="","",'Глубина-день'!A86)</f>
        <v>67</v>
      </c>
      <c r="B73" s="200" t="str">
        <f aca="false">IF('Глубина-день'!B86="","",'Глубина-день'!B86)</f>
        <v>СПО</v>
      </c>
      <c r="C73" s="200" t="str">
        <f aca="false">IF('Глубина-день'!C86="","",'Глубина-день'!C86)</f>
        <v>Подъем БИ с выбросом на мостки</v>
      </c>
      <c r="D73" s="199" t="n">
        <f aca="false">IF('Глубина-день'!E86="","",'Глубина-день'!E86)</f>
        <v>114</v>
      </c>
      <c r="E73" s="201" t="str">
        <f aca="false">IF('Глубина-день'!F86="","",'Глубина-день'!F86)</f>
        <v/>
      </c>
      <c r="F73" s="202" t="str">
        <f aca="false">IF('Глубина-день'!G86="","",'Глубина-день'!G86)</f>
        <v/>
      </c>
      <c r="G73" s="199" t="e">
        <f aca="false">IF('глубина-день'!#ref!="","",'глубина-день'!#ref!)</f>
        <v>#VALUE!</v>
      </c>
      <c r="H73" s="199" t="n">
        <f aca="false">IF('Глубина-день'!H86="","",'Глубина-день'!H86)</f>
        <v>4449</v>
      </c>
      <c r="I73" s="199" t="n">
        <f aca="false">IF('Глубина-день'!I86="","",'Глубина-день'!I86)</f>
        <v>25</v>
      </c>
      <c r="J73" s="203" t="n">
        <f aca="false">IF('Глубина-день'!J86="","",'Глубина-день'!J86)</f>
        <v>45514.5</v>
      </c>
      <c r="K73" s="199" t="n">
        <f aca="false">IF('Глубина-день'!R86="","",'Глубина-день'!R86)</f>
        <v>25</v>
      </c>
      <c r="L73" s="204" t="e">
        <f aca="false">IF('глубина-день'!#ref!="","",'глубина-день'!#ref!)</f>
        <v>#VALUE!</v>
      </c>
      <c r="M73" s="205"/>
      <c r="N73" s="199"/>
      <c r="O73" s="206"/>
      <c r="P73" s="180"/>
      <c r="Q73" s="180"/>
      <c r="R73" s="180"/>
      <c r="S73" s="180"/>
      <c r="W73" s="180"/>
      <c r="X73" s="180"/>
      <c r="Y73" s="180"/>
      <c r="Z73" s="180"/>
      <c r="AA73" s="180"/>
      <c r="AB73" s="180"/>
      <c r="AC73" s="180"/>
      <c r="AD73" s="180"/>
    </row>
    <row r="74" customFormat="false" ht="12" hidden="false" customHeight="true" outlineLevel="0" collapsed="false">
      <c r="A74" s="199" t="n">
        <f aca="false">IF('Глубина-день'!A87="","",'Глубина-день'!A87)</f>
        <v>68</v>
      </c>
      <c r="B74" s="200" t="str">
        <f aca="false">IF('Глубина-день'!B87="","",'Глубина-день'!B87)</f>
        <v>ПВО</v>
      </c>
      <c r="C74" s="200" t="str">
        <f aca="false">IF('Глубина-день'!C87="","",'Глубина-день'!C87)</f>
        <v>Демонтаж ПВО </v>
      </c>
      <c r="D74" s="199" t="n">
        <f aca="false">IF('Глубина-день'!E87="","",'Глубина-день'!E87)</f>
        <v>114</v>
      </c>
      <c r="E74" s="201" t="str">
        <f aca="false">IF('Глубина-день'!F87="","",'Глубина-день'!F87)</f>
        <v/>
      </c>
      <c r="F74" s="202" t="str">
        <f aca="false">IF('Глубина-день'!G87="","",'Глубина-день'!G87)</f>
        <v/>
      </c>
      <c r="G74" s="199" t="e">
        <f aca="false">IF('глубина-день'!#ref!="","",'глубина-день'!#ref!)</f>
        <v>#VALUE!</v>
      </c>
      <c r="H74" s="199" t="n">
        <f aca="false">IF('Глубина-день'!H87="","",'Глубина-день'!H87)</f>
        <v>4449</v>
      </c>
      <c r="I74" s="199" t="n">
        <f aca="false">IF('Глубина-день'!I87="","",'Глубина-день'!I87)</f>
        <v>4</v>
      </c>
      <c r="J74" s="203" t="n">
        <f aca="false">IF('Глубина-день'!J87="","",'Глубина-день'!J87)</f>
        <v>45514.6666666667</v>
      </c>
      <c r="K74" s="199" t="n">
        <f aca="false">IF('Глубина-день'!R87="","",'Глубина-день'!R87)</f>
        <v>4</v>
      </c>
      <c r="L74" s="204" t="e">
        <f aca="false">IF('глубина-день'!#ref!="","",'глубина-день'!#ref!)</f>
        <v>#VALUE!</v>
      </c>
      <c r="M74" s="205"/>
      <c r="N74" s="199"/>
      <c r="O74" s="206"/>
      <c r="P74" s="180"/>
      <c r="Q74" s="180"/>
      <c r="R74" s="180"/>
      <c r="S74" s="180"/>
      <c r="W74" s="180"/>
      <c r="X74" s="180"/>
      <c r="Y74" s="180"/>
      <c r="Z74" s="180"/>
      <c r="AA74" s="180"/>
      <c r="AB74" s="180"/>
      <c r="AC74" s="180"/>
      <c r="AD74" s="180"/>
    </row>
    <row r="75" customFormat="false" ht="12" hidden="false" customHeight="true" outlineLevel="0" collapsed="false">
      <c r="A75" s="199" t="e">
        <f aca="false">IF('глубина-день'!#ref!="","",'глубина-день'!#ref!)</f>
        <v>#VALUE!</v>
      </c>
      <c r="B75" s="200" t="e">
        <f aca="false">IF('глубина-день'!#ref!="","",'глубина-день'!#ref!)</f>
        <v>#VALUE!</v>
      </c>
      <c r="C75" s="200" t="e">
        <f aca="false">IF('глубина-день'!#ref!="","",'глубина-день'!#ref!)</f>
        <v>#VALUE!</v>
      </c>
      <c r="D75" s="199" t="e">
        <f aca="false">IF('глубина-день'!#ref!="","",'глубина-день'!#ref!)</f>
        <v>#VALUE!</v>
      </c>
      <c r="E75" s="201" t="e">
        <f aca="false">IF('глубина-день'!#ref!="","",'глубина-день'!#ref!)</f>
        <v>#VALUE!</v>
      </c>
      <c r="F75" s="202" t="e">
        <f aca="false">IF('глубина-день'!#ref!="","",'глубина-день'!#ref!)</f>
        <v>#VALUE!</v>
      </c>
      <c r="G75" s="199" t="e">
        <f aca="false">IF('глубина-день'!#ref!="","",'глубина-день'!#ref!)</f>
        <v>#VALUE!</v>
      </c>
      <c r="H75" s="199" t="e">
        <f aca="false">IF('глубина-день'!#ref!="","",'глубина-день'!#ref!)</f>
        <v>#VALUE!</v>
      </c>
      <c r="I75" s="199" t="e">
        <f aca="false">IF('глубина-день'!#ref!="","",'глубина-день'!#ref!)</f>
        <v>#VALUE!</v>
      </c>
      <c r="J75" s="203" t="e">
        <f aca="false">IF('глубина-день'!#ref!="","",'глубина-день'!#ref!)</f>
        <v>#VALUE!</v>
      </c>
      <c r="K75" s="199" t="e">
        <f aca="false">IF('глубина-день'!#ref!="","",'глубина-день'!#ref!)</f>
        <v>#VALUE!</v>
      </c>
      <c r="L75" s="204" t="e">
        <f aca="false">IF('глубина-день'!#ref!="","",'глубина-день'!#ref!)</f>
        <v>#VALUE!</v>
      </c>
      <c r="M75" s="205"/>
      <c r="N75" s="199"/>
      <c r="O75" s="206"/>
      <c r="P75" s="180"/>
      <c r="Q75" s="180"/>
      <c r="R75" s="180"/>
      <c r="S75" s="180"/>
      <c r="W75" s="180"/>
      <c r="X75" s="180"/>
      <c r="Y75" s="180"/>
      <c r="Z75" s="180"/>
      <c r="AA75" s="180"/>
      <c r="AB75" s="180"/>
      <c r="AC75" s="180"/>
      <c r="AD75" s="180"/>
    </row>
    <row r="76" customFormat="false" ht="12" hidden="false" customHeight="true" outlineLevel="0" collapsed="false">
      <c r="A76" s="199" t="e">
        <f aca="false">IF('глубина-день'!#ref!="","",'глубина-день'!#ref!)</f>
        <v>#VALUE!</v>
      </c>
      <c r="B76" s="200" t="e">
        <f aca="false">IF('глубина-день'!#ref!="","",'глубина-день'!#ref!)</f>
        <v>#VALUE!</v>
      </c>
      <c r="C76" s="200" t="e">
        <f aca="false">IF('глубина-день'!#ref!="","",'глубина-день'!#ref!)</f>
        <v>#VALUE!</v>
      </c>
      <c r="D76" s="199" t="e">
        <f aca="false">IF('глубина-день'!#ref!="","",'глубина-день'!#ref!)</f>
        <v>#VALUE!</v>
      </c>
      <c r="E76" s="201" t="e">
        <f aca="false">IF('глубина-день'!#ref!="","",'глубина-день'!#ref!)</f>
        <v>#VALUE!</v>
      </c>
      <c r="F76" s="202" t="e">
        <f aca="false">IF('глубина-день'!#ref!="","",'глубина-день'!#ref!)</f>
        <v>#VALUE!</v>
      </c>
      <c r="G76" s="199" t="e">
        <f aca="false">IF('глубина-день'!#ref!="","",'глубина-день'!#ref!)</f>
        <v>#VALUE!</v>
      </c>
      <c r="H76" s="199" t="e">
        <f aca="false">IF('глубина-день'!#ref!="","",'глубина-день'!#ref!)</f>
        <v>#VALUE!</v>
      </c>
      <c r="I76" s="199" t="e">
        <f aca="false">IF('глубина-день'!#ref!="","",'глубина-день'!#ref!)</f>
        <v>#VALUE!</v>
      </c>
      <c r="J76" s="203" t="e">
        <f aca="false">IF('глубина-день'!#ref!="","",'глубина-день'!#ref!)</f>
        <v>#VALUE!</v>
      </c>
      <c r="K76" s="199" t="e">
        <f aca="false">IF('глубина-день'!#ref!="","",'глубина-день'!#ref!)</f>
        <v>#VALUE!</v>
      </c>
      <c r="L76" s="204" t="e">
        <f aca="false">IF('глубина-день'!#ref!="","",'глубина-день'!#ref!)</f>
        <v>#VALUE!</v>
      </c>
      <c r="M76" s="205"/>
      <c r="N76" s="199"/>
      <c r="O76" s="206"/>
      <c r="P76" s="180"/>
      <c r="Q76" s="180"/>
      <c r="R76" s="180"/>
      <c r="S76" s="180"/>
      <c r="W76" s="180"/>
      <c r="X76" s="180"/>
      <c r="Y76" s="180"/>
      <c r="Z76" s="180"/>
      <c r="AA76" s="180"/>
      <c r="AB76" s="180"/>
      <c r="AC76" s="180"/>
      <c r="AD76" s="180"/>
    </row>
    <row r="77" customFormat="false" ht="12" hidden="false" customHeight="true" outlineLevel="0" collapsed="false">
      <c r="A77" s="199" t="e">
        <f aca="false">IF('глубина-день'!#ref!="","",'глубина-день'!#ref!)</f>
        <v>#VALUE!</v>
      </c>
      <c r="B77" s="200" t="e">
        <f aca="false">IF('глубина-день'!#ref!="","",'глубина-день'!#ref!)</f>
        <v>#VALUE!</v>
      </c>
      <c r="C77" s="200" t="e">
        <f aca="false">IF('глубина-день'!#ref!="","",'глубина-день'!#ref!)</f>
        <v>#VALUE!</v>
      </c>
      <c r="D77" s="199" t="e">
        <f aca="false">IF('глубина-день'!#ref!="","",'глубина-день'!#ref!)</f>
        <v>#VALUE!</v>
      </c>
      <c r="E77" s="201" t="e">
        <f aca="false">IF('глубина-день'!#ref!="","",'глубина-день'!#ref!)</f>
        <v>#VALUE!</v>
      </c>
      <c r="F77" s="202" t="e">
        <f aca="false">IF('глубина-день'!#ref!="","",'глубина-день'!#ref!)</f>
        <v>#VALUE!</v>
      </c>
      <c r="G77" s="199" t="e">
        <f aca="false">IF('глубина-день'!#ref!="","",'глубина-день'!#ref!)</f>
        <v>#VALUE!</v>
      </c>
      <c r="H77" s="199" t="e">
        <f aca="false">IF('глубина-день'!#ref!="","",'глубина-день'!#ref!)</f>
        <v>#VALUE!</v>
      </c>
      <c r="I77" s="199" t="e">
        <f aca="false">IF('глубина-день'!#ref!="","",'глубина-день'!#ref!)</f>
        <v>#VALUE!</v>
      </c>
      <c r="J77" s="203" t="e">
        <f aca="false">IF('глубина-день'!#ref!="","",'глубина-день'!#ref!)</f>
        <v>#VALUE!</v>
      </c>
      <c r="K77" s="199" t="e">
        <f aca="false">IF('глубина-день'!#ref!="","",'глубина-день'!#ref!)</f>
        <v>#VALUE!</v>
      </c>
      <c r="L77" s="204" t="e">
        <f aca="false">IF('глубина-день'!#ref!="","",'глубина-день'!#ref!)</f>
        <v>#VALUE!</v>
      </c>
      <c r="M77" s="205"/>
      <c r="N77" s="199"/>
      <c r="O77" s="206"/>
      <c r="P77" s="180"/>
      <c r="Q77" s="180"/>
      <c r="R77" s="180"/>
      <c r="S77" s="180"/>
      <c r="W77" s="180"/>
      <c r="X77" s="180"/>
      <c r="Y77" s="180"/>
      <c r="Z77" s="180"/>
      <c r="AA77" s="180"/>
      <c r="AB77" s="180"/>
      <c r="AC77" s="180"/>
      <c r="AD77" s="180"/>
    </row>
    <row r="78" customFormat="false" ht="12" hidden="false" customHeight="true" outlineLevel="0" collapsed="false">
      <c r="A78" s="199" t="e">
        <f aca="false">IF('глубина-день'!#ref!="","",'глубина-день'!#ref!)</f>
        <v>#VALUE!</v>
      </c>
      <c r="B78" s="200" t="e">
        <f aca="false">IF('глубина-день'!#ref!="","",'глубина-день'!#ref!)</f>
        <v>#VALUE!</v>
      </c>
      <c r="C78" s="200" t="e">
        <f aca="false">IF('глубина-день'!#ref!="","",'глубина-день'!#ref!)</f>
        <v>#VALUE!</v>
      </c>
      <c r="D78" s="199" t="e">
        <f aca="false">IF('глубина-день'!#ref!="","",'глубина-день'!#ref!)</f>
        <v>#VALUE!</v>
      </c>
      <c r="E78" s="201" t="e">
        <f aca="false">IF('глубина-день'!#ref!="","",'глубина-день'!#ref!)</f>
        <v>#VALUE!</v>
      </c>
      <c r="F78" s="202" t="e">
        <f aca="false">IF('глубина-день'!#ref!="","",'глубина-день'!#ref!)</f>
        <v>#VALUE!</v>
      </c>
      <c r="G78" s="199" t="e">
        <f aca="false">IF('глубина-день'!#ref!="","",'глубина-день'!#ref!)</f>
        <v>#VALUE!</v>
      </c>
      <c r="H78" s="199" t="e">
        <f aca="false">IF('глубина-день'!#ref!="","",'глубина-день'!#ref!)</f>
        <v>#VALUE!</v>
      </c>
      <c r="I78" s="199" t="e">
        <f aca="false">IF('глубина-день'!#ref!="","",'глубина-день'!#ref!)</f>
        <v>#VALUE!</v>
      </c>
      <c r="J78" s="203" t="e">
        <f aca="false">IF('глубина-день'!#ref!="","",'глубина-день'!#ref!)</f>
        <v>#VALUE!</v>
      </c>
      <c r="K78" s="199" t="e">
        <f aca="false">IF('глубина-день'!#ref!="","",'глубина-день'!#ref!)</f>
        <v>#VALUE!</v>
      </c>
      <c r="L78" s="204" t="e">
        <f aca="false">IF('глубина-день'!#ref!="","",'глубина-день'!#ref!)</f>
        <v>#VALUE!</v>
      </c>
      <c r="M78" s="205"/>
      <c r="N78" s="199"/>
      <c r="O78" s="206"/>
      <c r="P78" s="180"/>
      <c r="Q78" s="180"/>
      <c r="R78" s="180"/>
      <c r="S78" s="180"/>
      <c r="W78" s="180"/>
      <c r="X78" s="180"/>
      <c r="Y78" s="180"/>
      <c r="Z78" s="180"/>
      <c r="AA78" s="180"/>
      <c r="AB78" s="180"/>
      <c r="AC78" s="180"/>
      <c r="AD78" s="180"/>
    </row>
    <row r="79" customFormat="false" ht="12" hidden="false" customHeight="true" outlineLevel="0" collapsed="false">
      <c r="A79" s="199" t="e">
        <f aca="false">IF('глубина-день'!#ref!="","",'глубина-день'!#ref!)</f>
        <v>#VALUE!</v>
      </c>
      <c r="B79" s="200" t="e">
        <f aca="false">IF('глубина-день'!#ref!="","",'глубина-день'!#ref!)</f>
        <v>#VALUE!</v>
      </c>
      <c r="C79" s="200" t="e">
        <f aca="false">IF('глубина-день'!#ref!="","",'глубина-день'!#ref!)</f>
        <v>#VALUE!</v>
      </c>
      <c r="D79" s="199" t="e">
        <f aca="false">IF('глубина-день'!#ref!="","",'глубина-день'!#ref!)</f>
        <v>#VALUE!</v>
      </c>
      <c r="E79" s="201" t="e">
        <f aca="false">IF('глубина-день'!#ref!="","",'глубина-день'!#ref!)</f>
        <v>#VALUE!</v>
      </c>
      <c r="F79" s="202" t="e">
        <f aca="false">IF('глубина-день'!#ref!="","",'глубина-день'!#ref!)</f>
        <v>#VALUE!</v>
      </c>
      <c r="G79" s="199" t="e">
        <f aca="false">IF('глубина-день'!#ref!="","",'глубина-день'!#ref!)</f>
        <v>#VALUE!</v>
      </c>
      <c r="H79" s="199" t="e">
        <f aca="false">IF('глубина-день'!#ref!="","",'глубина-день'!#ref!)</f>
        <v>#VALUE!</v>
      </c>
      <c r="I79" s="199" t="e">
        <f aca="false">IF('глубина-день'!#ref!="","",'глубина-день'!#ref!)</f>
        <v>#VALUE!</v>
      </c>
      <c r="J79" s="203" t="e">
        <f aca="false">IF('глубина-день'!#ref!="","",'глубина-день'!#ref!)</f>
        <v>#VALUE!</v>
      </c>
      <c r="K79" s="199" t="e">
        <f aca="false">IF('глубина-день'!#ref!="","",'глубина-день'!#ref!)</f>
        <v>#VALUE!</v>
      </c>
      <c r="L79" s="204" t="e">
        <f aca="false">IF('глубина-день'!#ref!="","",'глубина-день'!#ref!)</f>
        <v>#VALUE!</v>
      </c>
      <c r="M79" s="205"/>
      <c r="N79" s="199"/>
      <c r="O79" s="206"/>
      <c r="P79" s="180"/>
      <c r="Q79" s="180"/>
      <c r="R79" s="180"/>
      <c r="S79" s="180"/>
      <c r="W79" s="180"/>
      <c r="X79" s="180"/>
      <c r="Y79" s="180"/>
      <c r="Z79" s="180"/>
      <c r="AA79" s="180"/>
      <c r="AB79" s="180"/>
      <c r="AC79" s="180"/>
      <c r="AD79" s="180"/>
    </row>
    <row r="80" customFormat="false" ht="12" hidden="false" customHeight="true" outlineLevel="0" collapsed="false">
      <c r="A80" s="199" t="e">
        <f aca="false">IF('глубина-день'!#ref!="","",'глубина-день'!#ref!)</f>
        <v>#VALUE!</v>
      </c>
      <c r="B80" s="200" t="e">
        <f aca="false">IF('глубина-день'!#ref!="","",'глубина-день'!#ref!)</f>
        <v>#VALUE!</v>
      </c>
      <c r="C80" s="200" t="e">
        <f aca="false">IF('глубина-день'!#ref!="","",'глубина-день'!#ref!)</f>
        <v>#VALUE!</v>
      </c>
      <c r="D80" s="199" t="e">
        <f aca="false">IF('глубина-день'!#ref!="","",'глубина-день'!#ref!)</f>
        <v>#VALUE!</v>
      </c>
      <c r="E80" s="201" t="e">
        <f aca="false">IF('глубина-день'!#ref!="","",'глубина-день'!#ref!)</f>
        <v>#VALUE!</v>
      </c>
      <c r="F80" s="202" t="e">
        <f aca="false">IF('глубина-день'!#ref!="","",'глубина-день'!#ref!)</f>
        <v>#VALUE!</v>
      </c>
      <c r="G80" s="199" t="e">
        <f aca="false">IF('глубина-день'!#ref!="","",'глубина-день'!#ref!)</f>
        <v>#VALUE!</v>
      </c>
      <c r="H80" s="199" t="e">
        <f aca="false">IF('глубина-день'!#ref!="","",'глубина-день'!#ref!)</f>
        <v>#VALUE!</v>
      </c>
      <c r="I80" s="199" t="e">
        <f aca="false">IF('глубина-день'!#ref!="","",'глубина-день'!#ref!)</f>
        <v>#VALUE!</v>
      </c>
      <c r="J80" s="203" t="e">
        <f aca="false">IF('глубина-день'!#ref!="","",'глубина-день'!#ref!)</f>
        <v>#VALUE!</v>
      </c>
      <c r="K80" s="199" t="e">
        <f aca="false">IF('глубина-день'!#ref!="","",'глубина-день'!#ref!)</f>
        <v>#VALUE!</v>
      </c>
      <c r="L80" s="204" t="e">
        <f aca="false">IF('глубина-день'!#ref!="","",'глубина-день'!#ref!)</f>
        <v>#VALUE!</v>
      </c>
      <c r="M80" s="205"/>
      <c r="N80" s="199"/>
      <c r="O80" s="206"/>
      <c r="P80" s="180"/>
      <c r="Q80" s="180"/>
      <c r="R80" s="180"/>
      <c r="S80" s="180"/>
      <c r="W80" s="180"/>
      <c r="X80" s="180"/>
      <c r="Y80" s="180"/>
      <c r="Z80" s="180"/>
      <c r="AA80" s="180"/>
      <c r="AB80" s="180"/>
      <c r="AC80" s="180"/>
      <c r="AD80" s="180"/>
    </row>
    <row r="81" customFormat="false" ht="12" hidden="false" customHeight="true" outlineLevel="0" collapsed="false">
      <c r="A81" s="199" t="e">
        <f aca="false">IF('глубина-день'!#ref!="","",'глубина-день'!#ref!)</f>
        <v>#VALUE!</v>
      </c>
      <c r="B81" s="200" t="e">
        <f aca="false">IF('глубина-день'!#ref!="","",'глубина-день'!#ref!)</f>
        <v>#VALUE!</v>
      </c>
      <c r="C81" s="200" t="e">
        <f aca="false">IF('глубина-день'!#ref!="","",'глубина-день'!#ref!)</f>
        <v>#VALUE!</v>
      </c>
      <c r="D81" s="199" t="e">
        <f aca="false">IF('глубина-день'!#ref!="","",'глубина-день'!#ref!)</f>
        <v>#VALUE!</v>
      </c>
      <c r="E81" s="201" t="e">
        <f aca="false">IF('глубина-день'!#ref!="","",'глубина-день'!#ref!)</f>
        <v>#VALUE!</v>
      </c>
      <c r="F81" s="202" t="e">
        <f aca="false">IF('глубина-день'!#ref!="","",'глубина-день'!#ref!)</f>
        <v>#VALUE!</v>
      </c>
      <c r="G81" s="199" t="e">
        <f aca="false">IF('глубина-день'!#ref!="","",'глубина-день'!#ref!)</f>
        <v>#VALUE!</v>
      </c>
      <c r="H81" s="199" t="e">
        <f aca="false">IF('глубина-день'!#ref!="","",'глубина-день'!#ref!)</f>
        <v>#VALUE!</v>
      </c>
      <c r="I81" s="199" t="e">
        <f aca="false">IF('глубина-день'!#ref!="","",'глубина-день'!#ref!)</f>
        <v>#VALUE!</v>
      </c>
      <c r="J81" s="203" t="e">
        <f aca="false">IF('глубина-день'!#ref!="","",'глубина-день'!#ref!)</f>
        <v>#VALUE!</v>
      </c>
      <c r="K81" s="199" t="e">
        <f aca="false">IF('глубина-день'!#ref!="","",'глубина-день'!#ref!)</f>
        <v>#VALUE!</v>
      </c>
      <c r="L81" s="204" t="e">
        <f aca="false">IF('глубина-день'!#ref!="","",'глубина-день'!#ref!)</f>
        <v>#VALUE!</v>
      </c>
      <c r="M81" s="205"/>
      <c r="N81" s="199"/>
      <c r="O81" s="206"/>
      <c r="P81" s="180"/>
      <c r="Q81" s="180"/>
      <c r="R81" s="180"/>
      <c r="S81" s="180"/>
      <c r="W81" s="180"/>
      <c r="X81" s="180"/>
      <c r="Y81" s="180"/>
      <c r="Z81" s="180"/>
      <c r="AA81" s="180"/>
      <c r="AB81" s="180"/>
      <c r="AC81" s="180"/>
      <c r="AD81" s="180"/>
    </row>
    <row r="82" customFormat="false" ht="12" hidden="false" customHeight="true" outlineLevel="0" collapsed="false">
      <c r="A82" s="199" t="e">
        <f aca="false">IF('глубина-день'!#ref!="","",'глубина-день'!#ref!)</f>
        <v>#VALUE!</v>
      </c>
      <c r="B82" s="200" t="e">
        <f aca="false">IF('глубина-день'!#ref!="","",'глубина-день'!#ref!)</f>
        <v>#VALUE!</v>
      </c>
      <c r="C82" s="200" t="e">
        <f aca="false">IF('глубина-день'!#ref!="","",'глубина-день'!#ref!)</f>
        <v>#VALUE!</v>
      </c>
      <c r="D82" s="199" t="e">
        <f aca="false">IF('глубина-день'!#ref!="","",'глубина-день'!#ref!)</f>
        <v>#VALUE!</v>
      </c>
      <c r="E82" s="201" t="e">
        <f aca="false">IF('глубина-день'!#ref!="","",'глубина-день'!#ref!)</f>
        <v>#VALUE!</v>
      </c>
      <c r="F82" s="202" t="e">
        <f aca="false">IF('глубина-день'!#ref!="","",'глубина-день'!#ref!)</f>
        <v>#VALUE!</v>
      </c>
      <c r="G82" s="199" t="e">
        <f aca="false">IF('глубина-день'!#ref!="","",'глубина-день'!#ref!)</f>
        <v>#VALUE!</v>
      </c>
      <c r="H82" s="199" t="e">
        <f aca="false">IF('глубина-день'!#ref!="","",'глубина-день'!#ref!)</f>
        <v>#VALUE!</v>
      </c>
      <c r="I82" s="199" t="e">
        <f aca="false">IF('глубина-день'!#ref!="","",'глубина-день'!#ref!)</f>
        <v>#VALUE!</v>
      </c>
      <c r="J82" s="203" t="e">
        <f aca="false">IF('глубина-день'!#ref!="","",'глубина-день'!#ref!)</f>
        <v>#VALUE!</v>
      </c>
      <c r="K82" s="199" t="e">
        <f aca="false">IF('глубина-день'!#ref!="","",'глубина-день'!#ref!)</f>
        <v>#VALUE!</v>
      </c>
      <c r="L82" s="204" t="e">
        <f aca="false">IF('глубина-день'!#ref!="","",'глубина-день'!#ref!)</f>
        <v>#VALUE!</v>
      </c>
      <c r="M82" s="205"/>
      <c r="N82" s="199"/>
      <c r="O82" s="206"/>
      <c r="P82" s="180"/>
      <c r="Q82" s="180"/>
      <c r="R82" s="180"/>
      <c r="S82" s="180"/>
      <c r="W82" s="180"/>
      <c r="X82" s="180"/>
      <c r="Y82" s="180"/>
      <c r="Z82" s="180"/>
      <c r="AA82" s="180"/>
      <c r="AB82" s="180"/>
      <c r="AC82" s="180"/>
      <c r="AD82" s="180"/>
    </row>
    <row r="83" customFormat="false" ht="16.5" hidden="false" customHeight="false" outlineLevel="0" collapsed="false">
      <c r="A83" s="199" t="e">
        <f aca="false">IF('глубина-день'!#ref!="","",'глубина-день'!#ref!)</f>
        <v>#VALUE!</v>
      </c>
      <c r="B83" s="200" t="e">
        <f aca="false">IF('глубина-день'!#ref!="","",'глубина-день'!#ref!)</f>
        <v>#VALUE!</v>
      </c>
      <c r="C83" s="200" t="e">
        <f aca="false">IF('глубина-день'!#ref!="","",'глубина-день'!#ref!)</f>
        <v>#VALUE!</v>
      </c>
      <c r="D83" s="199" t="e">
        <f aca="false">IF('глубина-день'!#ref!="","",'глубина-день'!#ref!)</f>
        <v>#VALUE!</v>
      </c>
      <c r="E83" s="201" t="e">
        <f aca="false">IF('глубина-день'!#ref!="","",'глубина-день'!#ref!)</f>
        <v>#VALUE!</v>
      </c>
      <c r="F83" s="202" t="e">
        <f aca="false">IF('глубина-день'!#ref!="","",'глубина-день'!#ref!)</f>
        <v>#VALUE!</v>
      </c>
      <c r="G83" s="199" t="e">
        <f aca="false">IF('глубина-день'!#ref!="","",'глубина-день'!#ref!)</f>
        <v>#VALUE!</v>
      </c>
      <c r="H83" s="199" t="e">
        <f aca="false">IF('глубина-день'!#ref!="","",'глубина-день'!#ref!)</f>
        <v>#VALUE!</v>
      </c>
      <c r="I83" s="199" t="e">
        <f aca="false">IF('глубина-день'!#ref!="","",'глубина-день'!#ref!)</f>
        <v>#VALUE!</v>
      </c>
      <c r="J83" s="203" t="e">
        <f aca="false">IF('глубина-день'!#ref!="","",'глубина-день'!#ref!)</f>
        <v>#VALUE!</v>
      </c>
      <c r="K83" s="199" t="e">
        <f aca="false">IF('глубина-день'!#ref!="","",'глубина-день'!#ref!)</f>
        <v>#VALUE!</v>
      </c>
      <c r="L83" s="204" t="e">
        <f aca="false">IF('глубина-день'!#ref!="","",'глубина-день'!#ref!)</f>
        <v>#VALUE!</v>
      </c>
      <c r="M83" s="205"/>
      <c r="N83" s="199"/>
      <c r="O83" s="206"/>
    </row>
    <row r="84" customFormat="false" ht="16.5" hidden="false" customHeight="false" outlineLevel="0" collapsed="false">
      <c r="A84" s="199" t="e">
        <f aca="false">IF('глубина-день'!#ref!="","",'глубина-день'!#ref!)</f>
        <v>#VALUE!</v>
      </c>
      <c r="B84" s="200" t="e">
        <f aca="false">IF('глубина-день'!#ref!="","",'глубина-день'!#ref!)</f>
        <v>#VALUE!</v>
      </c>
      <c r="C84" s="200" t="e">
        <f aca="false">IF('глубина-день'!#ref!="","",'глубина-день'!#ref!)</f>
        <v>#VALUE!</v>
      </c>
      <c r="D84" s="199" t="e">
        <f aca="false">IF('глубина-день'!#ref!="","",'глубина-день'!#ref!)</f>
        <v>#VALUE!</v>
      </c>
      <c r="E84" s="201" t="e">
        <f aca="false">IF('глубина-день'!#ref!="","",'глубина-день'!#ref!)</f>
        <v>#VALUE!</v>
      </c>
      <c r="F84" s="202" t="e">
        <f aca="false">IF('глубина-день'!#ref!="","",'глубина-день'!#ref!)</f>
        <v>#VALUE!</v>
      </c>
      <c r="G84" s="199" t="e">
        <f aca="false">IF('глубина-день'!#ref!="","",'глубина-день'!#ref!)</f>
        <v>#VALUE!</v>
      </c>
      <c r="H84" s="199" t="e">
        <f aca="false">IF('глубина-день'!#ref!="","",'глубина-день'!#ref!)</f>
        <v>#VALUE!</v>
      </c>
      <c r="I84" s="199" t="e">
        <f aca="false">IF('глубина-день'!#ref!="","",'глубина-день'!#ref!)</f>
        <v>#VALUE!</v>
      </c>
      <c r="J84" s="203" t="e">
        <f aca="false">IF('глубина-день'!#ref!="","",'глубина-день'!#ref!)</f>
        <v>#VALUE!</v>
      </c>
      <c r="K84" s="199" t="e">
        <f aca="false">IF('глубина-день'!#ref!="","",'глубина-день'!#ref!)</f>
        <v>#VALUE!</v>
      </c>
      <c r="L84" s="204" t="e">
        <f aca="false">IF('глубина-день'!#ref!="","",'глубина-день'!#ref!)</f>
        <v>#VALUE!</v>
      </c>
      <c r="M84" s="205"/>
      <c r="N84" s="199"/>
      <c r="O84" s="206"/>
    </row>
    <row r="85" customFormat="false" ht="16.5" hidden="false" customHeight="false" outlineLevel="0" collapsed="false">
      <c r="A85" s="199" t="e">
        <f aca="false">IF('глубина-день'!#ref!="","",'глубина-день'!#ref!)</f>
        <v>#VALUE!</v>
      </c>
      <c r="B85" s="200" t="e">
        <f aca="false">IF('глубина-день'!#ref!="","",'глубина-день'!#ref!)</f>
        <v>#VALUE!</v>
      </c>
      <c r="C85" s="200" t="e">
        <f aca="false">IF('глубина-день'!#ref!="","",'глубина-день'!#ref!)</f>
        <v>#VALUE!</v>
      </c>
      <c r="D85" s="199" t="e">
        <f aca="false">IF('глубина-день'!#ref!="","",'глубина-день'!#ref!)</f>
        <v>#VALUE!</v>
      </c>
      <c r="E85" s="201" t="e">
        <f aca="false">IF('глубина-день'!#ref!="","",'глубина-день'!#ref!)</f>
        <v>#VALUE!</v>
      </c>
      <c r="F85" s="202" t="e">
        <f aca="false">IF('глубина-день'!#ref!="","",'глубина-день'!#ref!)</f>
        <v>#VALUE!</v>
      </c>
      <c r="G85" s="199" t="e">
        <f aca="false">IF('глубина-день'!#ref!="","",'глубина-день'!#ref!)</f>
        <v>#VALUE!</v>
      </c>
      <c r="H85" s="199" t="e">
        <f aca="false">IF('глубина-день'!#ref!="","",'глубина-день'!#ref!)</f>
        <v>#VALUE!</v>
      </c>
      <c r="I85" s="199" t="e">
        <f aca="false">IF('глубина-день'!#ref!="","",'глубина-день'!#ref!)</f>
        <v>#VALUE!</v>
      </c>
      <c r="J85" s="203" t="e">
        <f aca="false">IF('глубина-день'!#ref!="","",'глубина-день'!#ref!)</f>
        <v>#VALUE!</v>
      </c>
      <c r="K85" s="199" t="e">
        <f aca="false">IF('глубина-день'!#ref!="","",'глубина-день'!#ref!)</f>
        <v>#VALUE!</v>
      </c>
      <c r="L85" s="204" t="e">
        <f aca="false">IF('глубина-день'!#ref!="","",'глубина-день'!#ref!)</f>
        <v>#VALUE!</v>
      </c>
      <c r="M85" s="205"/>
      <c r="N85" s="199"/>
      <c r="O85" s="206"/>
    </row>
    <row r="86" customFormat="false" ht="16.5" hidden="false" customHeight="false" outlineLevel="0" collapsed="false">
      <c r="A86" s="199" t="e">
        <f aca="false">IF('глубина-день'!#ref!="","",'глубина-день'!#ref!)</f>
        <v>#VALUE!</v>
      </c>
      <c r="B86" s="200" t="e">
        <f aca="false">IF('глубина-день'!#ref!="","",'глубина-день'!#ref!)</f>
        <v>#VALUE!</v>
      </c>
      <c r="C86" s="200" t="e">
        <f aca="false">IF('глубина-день'!#ref!="","",'глубина-день'!#ref!)</f>
        <v>#VALUE!</v>
      </c>
      <c r="D86" s="199" t="e">
        <f aca="false">IF('глубина-день'!#ref!="","",'глубина-день'!#ref!)</f>
        <v>#VALUE!</v>
      </c>
      <c r="E86" s="201" t="e">
        <f aca="false">IF('глубина-день'!#ref!="","",'глубина-день'!#ref!)</f>
        <v>#VALUE!</v>
      </c>
      <c r="F86" s="202" t="e">
        <f aca="false">IF('глубина-день'!#ref!="","",'глубина-день'!#ref!)</f>
        <v>#VALUE!</v>
      </c>
      <c r="G86" s="199" t="e">
        <f aca="false">IF('глубина-день'!#ref!="","",'глубина-день'!#ref!)</f>
        <v>#VALUE!</v>
      </c>
      <c r="H86" s="199" t="e">
        <f aca="false">IF('глубина-день'!#ref!="","",'глубина-день'!#ref!)</f>
        <v>#VALUE!</v>
      </c>
      <c r="I86" s="199" t="e">
        <f aca="false">IF('глубина-день'!#ref!="","",'глубина-день'!#ref!)</f>
        <v>#VALUE!</v>
      </c>
      <c r="J86" s="203" t="e">
        <f aca="false">IF('глубина-день'!#ref!="","",'глубина-день'!#ref!)</f>
        <v>#VALUE!</v>
      </c>
      <c r="K86" s="199" t="e">
        <f aca="false">IF('глубина-день'!#ref!="","",'глубина-день'!#ref!)</f>
        <v>#VALUE!</v>
      </c>
      <c r="L86" s="204" t="e">
        <f aca="false">IF('глубина-день'!#ref!="","",'глубина-день'!#ref!)</f>
        <v>#VALUE!</v>
      </c>
      <c r="M86" s="205"/>
      <c r="N86" s="199"/>
      <c r="O86" s="206"/>
    </row>
    <row r="87" customFormat="false" ht="16.5" hidden="false" customHeight="false" outlineLevel="0" collapsed="false">
      <c r="A87" s="199" t="str">
        <f aca="false">IF('Глубина-день'!A90="","",'Глубина-день'!A90)</f>
        <v/>
      </c>
      <c r="B87" s="200" t="str">
        <f aca="false">IF('Глубина-день'!B90="","",'Глубина-день'!B90)</f>
        <v/>
      </c>
      <c r="C87" s="200" t="str">
        <f aca="false">IF('Глубина-день'!C90="","",'Глубина-день'!C90)</f>
        <v>Итого, сут.:</v>
      </c>
      <c r="D87" s="199" t="str">
        <f aca="false">IF('Глубина-день'!E90="","",'Глубина-день'!E90)</f>
        <v/>
      </c>
      <c r="E87" s="201" t="str">
        <f aca="false">IF('Глубина-день'!F90="","",'Глубина-день'!F90)</f>
        <v/>
      </c>
      <c r="F87" s="202" t="str">
        <f aca="false">IF('Глубина-день'!G90="","",'Глубина-день'!G90)</f>
        <v/>
      </c>
      <c r="G87" s="199" t="e">
        <f aca="false">IF('глубина-день'!#ref!="","",'глубина-день'!#ref!)</f>
        <v>#VALUE!</v>
      </c>
      <c r="H87" s="199" t="str">
        <f aca="false">IF('Глубина-день'!H90="","",'Глубина-день'!H90)</f>
        <v/>
      </c>
      <c r="I87" s="199" t="n">
        <f aca="false">IF('Глубина-день'!I90="","",'Глубина-день'!I90)</f>
        <v>26.8625</v>
      </c>
      <c r="J87" s="203" t="str">
        <f aca="false">IF('Глубина-день'!J90="","",'Глубина-день'!J90)</f>
        <v/>
      </c>
      <c r="K87" s="199" t="n">
        <f aca="false">IF('Глубина-день'!R90="","",'Глубина-день'!R90)</f>
        <v>26.8625</v>
      </c>
      <c r="L87" s="204" t="e">
        <f aca="false">IF('глубина-день'!#ref!="","",'глубина-день'!#ref!)</f>
        <v>#VALUE!</v>
      </c>
      <c r="M87" s="205"/>
      <c r="N87" s="199"/>
      <c r="O87" s="206"/>
    </row>
  </sheetData>
  <mergeCells count="4">
    <mergeCell ref="A1:C1"/>
    <mergeCell ref="A11:D11"/>
    <mergeCell ref="E11:L11"/>
    <mergeCell ref="M11:O1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true"/>
  </sheetPr>
  <dimension ref="B2:AN118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Q3" activeCellId="0" sqref="Q3"/>
    </sheetView>
  </sheetViews>
  <sheetFormatPr defaultColWidth="9.1484375" defaultRowHeight="16.5" zeroHeight="false" outlineLevelRow="0" outlineLevelCol="0"/>
  <cols>
    <col collapsed="false" customWidth="false" hidden="false" outlineLevel="0" max="1" min="1" style="207" width="9.14"/>
    <col collapsed="false" customWidth="true" hidden="false" outlineLevel="0" max="3" min="2" style="207" width="15.71"/>
    <col collapsed="false" customWidth="false" hidden="false" outlineLevel="0" max="26" min="4" style="207" width="9.14"/>
    <col collapsed="false" customWidth="true" hidden="false" outlineLevel="0" max="27" min="27" style="207" width="10.42"/>
    <col collapsed="false" customWidth="false" hidden="false" outlineLevel="0" max="16384" min="28" style="207" width="9.14"/>
  </cols>
  <sheetData>
    <row r="2" customFormat="false" ht="16.5" hidden="false" customHeight="true" outlineLevel="0" collapsed="false">
      <c r="B2" s="208" t="s">
        <v>9</v>
      </c>
      <c r="C2" s="209" t="str">
        <f aca="false">'Глубина-день'!C4</f>
        <v>Южно-Приобское</v>
      </c>
      <c r="D2" s="210"/>
      <c r="E2" s="211" t="s">
        <v>24</v>
      </c>
      <c r="F2" s="211"/>
      <c r="G2" s="212" t="n">
        <f aca="false">'Глубина-день'!N7</f>
        <v>26.8624999999956</v>
      </c>
      <c r="H2" s="210"/>
      <c r="I2" s="213" t="s">
        <v>31</v>
      </c>
      <c r="J2" s="213"/>
      <c r="K2" s="211" t="s">
        <v>12</v>
      </c>
      <c r="L2" s="211"/>
      <c r="M2" s="212" t="n">
        <f aca="false">'Глубина-день'!N10</f>
        <v>6.03787367947755</v>
      </c>
      <c r="N2" s="210"/>
      <c r="O2" s="211" t="s">
        <v>8</v>
      </c>
      <c r="P2" s="211"/>
      <c r="Q2" s="214" t="n">
        <f aca="false">'Глубина-день'!N3</f>
        <v>45489.2083333333</v>
      </c>
    </row>
    <row r="3" customFormat="false" ht="16.5" hidden="false" customHeight="false" outlineLevel="0" collapsed="false">
      <c r="B3" s="208" t="s">
        <v>17</v>
      </c>
      <c r="C3" s="209" t="str">
        <f aca="false">'Глубина-день'!C5</f>
        <v>112А.1</v>
      </c>
      <c r="D3" s="210"/>
      <c r="E3" s="211" t="s">
        <v>27</v>
      </c>
      <c r="F3" s="211"/>
      <c r="G3" s="212" t="n">
        <f aca="false">'Глубина-день'!N8</f>
        <v>27.1666666666715</v>
      </c>
      <c r="H3" s="210"/>
      <c r="I3" s="213"/>
      <c r="J3" s="213"/>
      <c r="K3" s="211" t="s">
        <v>57</v>
      </c>
      <c r="L3" s="211"/>
      <c r="M3" s="212" t="n">
        <f aca="false">'Глубина-день'!N11</f>
        <v>6.10624110287065</v>
      </c>
      <c r="N3" s="210"/>
      <c r="O3" s="211" t="s">
        <v>174</v>
      </c>
      <c r="P3" s="211"/>
      <c r="Q3" s="214" t="n">
        <f aca="false">'Глубина-день'!N5</f>
        <v>45516.375</v>
      </c>
      <c r="T3" s="215"/>
    </row>
    <row r="4" customFormat="false" ht="16.5" hidden="false" customHeight="false" outlineLevel="0" collapsed="false">
      <c r="B4" s="208" t="s">
        <v>20</v>
      </c>
      <c r="C4" s="209" t="n">
        <f aca="false">'Глубина-день'!C6</f>
        <v>46626</v>
      </c>
      <c r="D4" s="210"/>
      <c r="E4" s="211" t="s">
        <v>175</v>
      </c>
      <c r="F4" s="211"/>
      <c r="G4" s="212" t="n">
        <f aca="false">'Глубина-день'!N13</f>
        <v>0.304166666675883</v>
      </c>
      <c r="H4" s="210"/>
      <c r="I4" s="210"/>
      <c r="J4" s="210"/>
      <c r="K4" s="210"/>
      <c r="L4" s="210"/>
      <c r="M4" s="210"/>
      <c r="N4" s="210"/>
      <c r="O4" s="211" t="s">
        <v>176</v>
      </c>
      <c r="P4" s="211"/>
      <c r="Q4" s="214"/>
    </row>
    <row r="7" customFormat="false" ht="16.5" hidden="false" customHeight="false" outlineLevel="0" collapsed="false">
      <c r="X7" s="216"/>
      <c r="Y7" s="216" t="s">
        <v>7</v>
      </c>
      <c r="Z7" s="216" t="str">
        <f aca="false">'Глубина-день'!K7</f>
        <v>План, сут*</v>
      </c>
      <c r="AA7" s="216"/>
      <c r="AB7" s="216" t="s">
        <v>7</v>
      </c>
      <c r="AC7" s="217" t="s">
        <v>27</v>
      </c>
      <c r="AD7" s="216"/>
      <c r="AE7" s="216" t="str">
        <f aca="false">'Глубина-день'!K9</f>
        <v>БП, сут</v>
      </c>
      <c r="AF7" s="216"/>
      <c r="AG7" s="216"/>
      <c r="AH7" s="216"/>
      <c r="AI7" s="216"/>
      <c r="AJ7" s="216"/>
      <c r="AK7" s="216"/>
      <c r="AL7" s="216"/>
      <c r="AM7" s="216"/>
      <c r="AN7" s="216"/>
    </row>
    <row r="8" customFormat="false" ht="16.5" hidden="false" customHeight="false" outlineLevel="0" collapsed="false">
      <c r="X8" s="216"/>
      <c r="Y8" s="216"/>
      <c r="Z8" s="216" t="s">
        <v>49</v>
      </c>
      <c r="AA8" s="218" t="s">
        <v>177</v>
      </c>
      <c r="AB8" s="216"/>
      <c r="AC8" s="216" t="s">
        <v>49</v>
      </c>
      <c r="AD8" s="218" t="s">
        <v>177</v>
      </c>
      <c r="AE8" s="216" t="s">
        <v>49</v>
      </c>
      <c r="AF8" s="218" t="s">
        <v>177</v>
      </c>
      <c r="AG8" s="216"/>
      <c r="AH8" s="218"/>
      <c r="AI8" s="216"/>
      <c r="AJ8" s="216"/>
      <c r="AK8" s="218"/>
      <c r="AL8" s="216"/>
      <c r="AM8" s="216"/>
      <c r="AN8" s="218"/>
    </row>
    <row r="9" customFormat="false" ht="16.5" hidden="false" customHeight="false" outlineLevel="0" collapsed="false">
      <c r="X9" s="216" t="n">
        <f aca="false">'Глубина-день'!A20</f>
        <v>1</v>
      </c>
      <c r="Y9" s="216" t="n">
        <f aca="false">'Глубина-день'!H20</f>
        <v>0</v>
      </c>
      <c r="Z9" s="216" t="n">
        <f aca="false">'Глубина-день'!I20</f>
        <v>0.5</v>
      </c>
      <c r="AA9" s="219" t="n">
        <f aca="false">Z9/24</f>
        <v>0.0208333333333333</v>
      </c>
      <c r="AB9" s="216" t="n">
        <f aca="false">'Глубина-день'!K20</f>
        <v>0</v>
      </c>
      <c r="AC9" s="216" t="n">
        <f aca="false">'Глубина-день'!L20</f>
        <v>0.5</v>
      </c>
      <c r="AD9" s="219" t="n">
        <f aca="false">AC9/24</f>
        <v>0.0208333333333333</v>
      </c>
      <c r="AE9" s="216" t="n">
        <f aca="false">'Глубина-день'!R20</f>
        <v>0.5</v>
      </c>
      <c r="AF9" s="219" t="n">
        <f aca="false">AE9/24</f>
        <v>0.0208333333333333</v>
      </c>
      <c r="AG9" s="216"/>
      <c r="AH9" s="220"/>
      <c r="AI9" s="216"/>
      <c r="AJ9" s="216"/>
      <c r="AK9" s="220"/>
      <c r="AL9" s="216"/>
      <c r="AM9" s="216"/>
      <c r="AN9" s="220"/>
    </row>
    <row r="10" customFormat="false" ht="16.5" hidden="false" customHeight="false" outlineLevel="0" collapsed="false">
      <c r="X10" s="216" t="n">
        <f aca="false">'Глубина-день'!A21</f>
        <v>2</v>
      </c>
      <c r="Y10" s="216" t="n">
        <f aca="false">'Глубина-день'!H21</f>
        <v>80</v>
      </c>
      <c r="Z10" s="216" t="n">
        <f aca="false">'Глубина-день'!I21</f>
        <v>2</v>
      </c>
      <c r="AA10" s="219" t="n">
        <f aca="false">Z10/24+AA9</f>
        <v>0.104166666666667</v>
      </c>
      <c r="AB10" s="216" t="n">
        <f aca="false">'Глубина-день'!K21</f>
        <v>80</v>
      </c>
      <c r="AC10" s="216" t="n">
        <f aca="false">'Глубина-день'!L21</f>
        <v>2</v>
      </c>
      <c r="AD10" s="219" t="n">
        <f aca="false">AC10/24+AD9</f>
        <v>0.104166666666667</v>
      </c>
      <c r="AE10" s="216" t="n">
        <f aca="false">'Глубина-день'!R21</f>
        <v>2</v>
      </c>
      <c r="AF10" s="219" t="n">
        <f aca="false">AE10/24+AF9</f>
        <v>0.104166666666667</v>
      </c>
      <c r="AG10" s="216"/>
      <c r="AH10" s="221"/>
      <c r="AI10" s="216"/>
      <c r="AJ10" s="216"/>
      <c r="AK10" s="221"/>
      <c r="AL10" s="216"/>
      <c r="AM10" s="216"/>
      <c r="AN10" s="221"/>
    </row>
    <row r="11" customFormat="false" ht="16.5" hidden="false" customHeight="false" outlineLevel="0" collapsed="false">
      <c r="X11" s="216" t="n">
        <f aca="false">'Глубина-день'!A22</f>
        <v>3</v>
      </c>
      <c r="Y11" s="216" t="n">
        <f aca="false">'Глубина-день'!H22</f>
        <v>80</v>
      </c>
      <c r="Z11" s="216" t="n">
        <f aca="false">'Глубина-день'!I22</f>
        <v>1</v>
      </c>
      <c r="AA11" s="219" t="n">
        <f aca="false">Z11/24+AA10</f>
        <v>0.145833333333333</v>
      </c>
      <c r="AB11" s="216" t="n">
        <f aca="false">'Глубина-день'!K22</f>
        <v>80</v>
      </c>
      <c r="AC11" s="216" t="n">
        <f aca="false">'Глубина-день'!L22</f>
        <v>1</v>
      </c>
      <c r="AD11" s="219" t="n">
        <f aca="false">AC11/24+AD10</f>
        <v>0.145833333333333</v>
      </c>
      <c r="AE11" s="216" t="n">
        <f aca="false">'Глубина-день'!R22</f>
        <v>1</v>
      </c>
      <c r="AF11" s="219" t="n">
        <f aca="false">AE11/24+AF10</f>
        <v>0.145833333333333</v>
      </c>
      <c r="AG11" s="216"/>
      <c r="AH11" s="221"/>
      <c r="AI11" s="216"/>
      <c r="AJ11" s="216"/>
      <c r="AK11" s="221"/>
      <c r="AL11" s="216"/>
      <c r="AM11" s="216"/>
      <c r="AN11" s="221"/>
    </row>
    <row r="12" customFormat="false" ht="16.5" hidden="false" customHeight="false" outlineLevel="0" collapsed="false">
      <c r="X12" s="216" t="n">
        <f aca="false">'Глубина-день'!A23</f>
        <v>4</v>
      </c>
      <c r="Y12" s="216" t="n">
        <f aca="false">'Глубина-день'!H23</f>
        <v>80</v>
      </c>
      <c r="Z12" s="216" t="n">
        <f aca="false">'Глубина-день'!I23</f>
        <v>0.5</v>
      </c>
      <c r="AA12" s="219" t="n">
        <f aca="false">Z12/24+AA11</f>
        <v>0.166666666666667</v>
      </c>
      <c r="AB12" s="216" t="n">
        <f aca="false">'Глубина-день'!K23</f>
        <v>80</v>
      </c>
      <c r="AC12" s="216" t="n">
        <f aca="false">'Глубина-день'!L23</f>
        <v>0.5</v>
      </c>
      <c r="AD12" s="219" t="n">
        <f aca="false">AC12/24+AD11</f>
        <v>0.166666666666667</v>
      </c>
      <c r="AE12" s="216" t="n">
        <f aca="false">'Глубина-день'!R23</f>
        <v>0.5</v>
      </c>
      <c r="AF12" s="219" t="n">
        <f aca="false">AE12/24+AF11</f>
        <v>0.166666666666667</v>
      </c>
      <c r="AG12" s="216"/>
      <c r="AH12" s="221"/>
      <c r="AI12" s="216"/>
      <c r="AJ12" s="216"/>
      <c r="AK12" s="221"/>
      <c r="AL12" s="216"/>
      <c r="AM12" s="216"/>
      <c r="AN12" s="221"/>
    </row>
    <row r="13" customFormat="false" ht="16.5" hidden="false" customHeight="false" outlineLevel="0" collapsed="false">
      <c r="X13" s="216" t="n">
        <f aca="false">'Глубина-день'!A24</f>
        <v>5</v>
      </c>
      <c r="Y13" s="216" t="n">
        <f aca="false">'Глубина-день'!H24</f>
        <v>80</v>
      </c>
      <c r="Z13" s="216" t="n">
        <f aca="false">'Глубина-день'!I24</f>
        <v>1</v>
      </c>
      <c r="AA13" s="219" t="n">
        <f aca="false">Z13/24+AA12</f>
        <v>0.208333333333333</v>
      </c>
      <c r="AB13" s="216" t="n">
        <f aca="false">'Глубина-день'!K24</f>
        <v>80</v>
      </c>
      <c r="AC13" s="216" t="n">
        <f aca="false">'Глубина-день'!L24</f>
        <v>1</v>
      </c>
      <c r="AD13" s="219" t="n">
        <f aca="false">AC13/24+AD12</f>
        <v>0.208333333333333</v>
      </c>
      <c r="AE13" s="216" t="n">
        <f aca="false">'Глубина-день'!R24</f>
        <v>1</v>
      </c>
      <c r="AF13" s="219" t="n">
        <f aca="false">AE13/24+AF12</f>
        <v>0.208333333333333</v>
      </c>
      <c r="AG13" s="216"/>
      <c r="AH13" s="221"/>
      <c r="AI13" s="216"/>
      <c r="AJ13" s="216"/>
      <c r="AK13" s="221"/>
      <c r="AL13" s="216"/>
      <c r="AM13" s="216"/>
      <c r="AN13" s="221"/>
    </row>
    <row r="14" customFormat="false" ht="16.5" hidden="false" customHeight="false" outlineLevel="0" collapsed="false">
      <c r="X14" s="216" t="n">
        <f aca="false">'Глубина-день'!A25</f>
        <v>6</v>
      </c>
      <c r="Y14" s="216" t="n">
        <f aca="false">'Глубина-день'!H25</f>
        <v>80</v>
      </c>
      <c r="Z14" s="216" t="n">
        <f aca="false">'Глубина-день'!I25</f>
        <v>2</v>
      </c>
      <c r="AA14" s="219" t="n">
        <f aca="false">Z14/24+AA13</f>
        <v>0.291666666666667</v>
      </c>
      <c r="AB14" s="216" t="n">
        <f aca="false">'Глубина-день'!K25</f>
        <v>80</v>
      </c>
      <c r="AC14" s="216" t="n">
        <f aca="false">'Глубина-день'!L25</f>
        <v>2</v>
      </c>
      <c r="AD14" s="219" t="n">
        <f aca="false">AC14/24+AD13</f>
        <v>0.291666666666667</v>
      </c>
      <c r="AE14" s="216" t="n">
        <f aca="false">'Глубина-день'!R25</f>
        <v>2</v>
      </c>
      <c r="AF14" s="219" t="n">
        <f aca="false">AE14/24+AF13</f>
        <v>0.291666666666667</v>
      </c>
      <c r="AG14" s="216"/>
      <c r="AH14" s="221"/>
      <c r="AI14" s="216"/>
      <c r="AJ14" s="216"/>
      <c r="AK14" s="221"/>
      <c r="AL14" s="216"/>
      <c r="AM14" s="216"/>
      <c r="AN14" s="221"/>
    </row>
    <row r="15" customFormat="false" ht="16.5" hidden="false" customHeight="false" outlineLevel="0" collapsed="false">
      <c r="X15" s="216" t="n">
        <f aca="false">'Глубина-день'!A26</f>
        <v>7</v>
      </c>
      <c r="Y15" s="216" t="n">
        <f aca="false">'Глубина-день'!H26</f>
        <v>80</v>
      </c>
      <c r="Z15" s="216" t="n">
        <f aca="false">'Глубина-день'!I26</f>
        <v>0.5</v>
      </c>
      <c r="AA15" s="219" t="n">
        <f aca="false">Z15/24+AA14</f>
        <v>0.3125</v>
      </c>
      <c r="AB15" s="216" t="n">
        <f aca="false">'Глубина-день'!K26</f>
        <v>80</v>
      </c>
      <c r="AC15" s="216" t="n">
        <f aca="false">'Глубина-день'!L26</f>
        <v>0.5</v>
      </c>
      <c r="AD15" s="219" t="n">
        <f aca="false">AC15/24+AD14</f>
        <v>0.3125</v>
      </c>
      <c r="AE15" s="216" t="n">
        <f aca="false">'Глубина-день'!R26</f>
        <v>0.5</v>
      </c>
      <c r="AF15" s="219" t="n">
        <f aca="false">AE15/24+AF14</f>
        <v>0.3125</v>
      </c>
      <c r="AG15" s="216"/>
      <c r="AH15" s="221"/>
      <c r="AI15" s="216"/>
      <c r="AJ15" s="216"/>
      <c r="AK15" s="221"/>
      <c r="AL15" s="216"/>
      <c r="AM15" s="216"/>
      <c r="AN15" s="221"/>
    </row>
    <row r="16" customFormat="false" ht="16.5" hidden="false" customHeight="false" outlineLevel="0" collapsed="false">
      <c r="X16" s="216" t="n">
        <f aca="false">'Глубина-день'!A27</f>
        <v>8</v>
      </c>
      <c r="Y16" s="216" t="n">
        <f aca="false">'Глубина-день'!H27</f>
        <v>80</v>
      </c>
      <c r="Z16" s="216" t="n">
        <f aca="false">'Глубина-день'!I27</f>
        <v>1.5</v>
      </c>
      <c r="AA16" s="219" t="n">
        <f aca="false">Z16/24+AA15</f>
        <v>0.375</v>
      </c>
      <c r="AB16" s="216" t="n">
        <f aca="false">'Глубина-день'!K27</f>
        <v>80</v>
      </c>
      <c r="AC16" s="216" t="n">
        <f aca="false">'Глубина-день'!L27</f>
        <v>1.5</v>
      </c>
      <c r="AD16" s="219" t="n">
        <f aca="false">AC16/24+AD15</f>
        <v>0.375</v>
      </c>
      <c r="AE16" s="216" t="n">
        <f aca="false">'Глубина-день'!R27</f>
        <v>1.5</v>
      </c>
      <c r="AF16" s="219" t="n">
        <f aca="false">AE16/24+AF15</f>
        <v>0.375</v>
      </c>
      <c r="AG16" s="216"/>
      <c r="AH16" s="221"/>
      <c r="AI16" s="216"/>
      <c r="AJ16" s="216"/>
      <c r="AK16" s="221"/>
      <c r="AL16" s="216"/>
      <c r="AM16" s="216"/>
      <c r="AN16" s="221"/>
    </row>
    <row r="17" customFormat="false" ht="16.5" hidden="false" customHeight="false" outlineLevel="0" collapsed="false">
      <c r="X17" s="216" t="n">
        <f aca="false">'Глубина-день'!A28</f>
        <v>9</v>
      </c>
      <c r="Y17" s="216" t="n">
        <f aca="false">'Глубина-день'!H28</f>
        <v>80</v>
      </c>
      <c r="Z17" s="216" t="n">
        <f aca="false">'Глубина-день'!I28</f>
        <v>8</v>
      </c>
      <c r="AA17" s="219" t="n">
        <f aca="false">Z17/24+AA16</f>
        <v>0.708333333333333</v>
      </c>
      <c r="AB17" s="216" t="n">
        <f aca="false">'Глубина-день'!K28</f>
        <v>80</v>
      </c>
      <c r="AC17" s="216" t="n">
        <f aca="false">'Глубина-день'!L28</f>
        <v>8</v>
      </c>
      <c r="AD17" s="219" t="n">
        <f aca="false">AC17/24+AD16</f>
        <v>0.708333333333333</v>
      </c>
      <c r="AE17" s="216" t="n">
        <f aca="false">'Глубина-день'!R28</f>
        <v>8</v>
      </c>
      <c r="AF17" s="219" t="n">
        <f aca="false">AE17/24+AF16</f>
        <v>0.708333333333333</v>
      </c>
      <c r="AG17" s="216"/>
      <c r="AH17" s="221"/>
      <c r="AI17" s="216"/>
      <c r="AJ17" s="216"/>
      <c r="AK17" s="221"/>
      <c r="AL17" s="216"/>
      <c r="AM17" s="216"/>
      <c r="AN17" s="221"/>
    </row>
    <row r="18" customFormat="false" ht="16.5" hidden="false" customHeight="false" outlineLevel="0" collapsed="false">
      <c r="X18" s="216" t="n">
        <f aca="false">'Глубина-день'!A29</f>
        <v>10</v>
      </c>
      <c r="Y18" s="216" t="n">
        <f aca="false">'Глубина-день'!H29</f>
        <v>80</v>
      </c>
      <c r="Z18" s="216" t="n">
        <f aca="false">'Глубина-день'!I29</f>
        <v>12</v>
      </c>
      <c r="AA18" s="219" t="n">
        <f aca="false">Z18/24+AA17</f>
        <v>1.20833333333333</v>
      </c>
      <c r="AB18" s="216" t="n">
        <f aca="false">'Глубина-день'!K29</f>
        <v>80</v>
      </c>
      <c r="AC18" s="216" t="n">
        <f aca="false">'Глубина-день'!L29</f>
        <v>9</v>
      </c>
      <c r="AD18" s="219" t="n">
        <f aca="false">AC18/24+AD17</f>
        <v>1.08333333333333</v>
      </c>
      <c r="AE18" s="216" t="n">
        <f aca="false">'Глубина-день'!R29</f>
        <v>12</v>
      </c>
      <c r="AF18" s="219" t="n">
        <f aca="false">AE18/24+AF17</f>
        <v>1.20833333333333</v>
      </c>
      <c r="AG18" s="216"/>
      <c r="AH18" s="221"/>
      <c r="AI18" s="216"/>
      <c r="AJ18" s="216"/>
      <c r="AK18" s="221"/>
      <c r="AL18" s="216"/>
      <c r="AM18" s="216"/>
      <c r="AN18" s="221"/>
    </row>
    <row r="19" customFormat="false" ht="16.5" hidden="false" customHeight="false" outlineLevel="0" collapsed="false">
      <c r="X19" s="216" t="n">
        <f aca="false">'Глубина-день'!A30</f>
        <v>11</v>
      </c>
      <c r="Y19" s="216" t="n">
        <f aca="false">'Глубина-день'!H30</f>
        <v>80</v>
      </c>
      <c r="Z19" s="216" t="n">
        <f aca="false">'Глубина-день'!I30</f>
        <v>3</v>
      </c>
      <c r="AA19" s="219" t="n">
        <f aca="false">Z19/24+AA18</f>
        <v>1.33333333333333</v>
      </c>
      <c r="AB19" s="216" t="n">
        <f aca="false">'Глубина-день'!K30</f>
        <v>80</v>
      </c>
      <c r="AC19" s="216" t="n">
        <f aca="false">'Глубина-день'!L30</f>
        <v>2.5</v>
      </c>
      <c r="AD19" s="219" t="n">
        <f aca="false">AC19/24+AD18</f>
        <v>1.1875</v>
      </c>
      <c r="AE19" s="216" t="n">
        <f aca="false">'Глубина-день'!R30</f>
        <v>3</v>
      </c>
      <c r="AF19" s="219" t="n">
        <f aca="false">AE19/24+AF18</f>
        <v>1.33333333333333</v>
      </c>
      <c r="AG19" s="216"/>
      <c r="AH19" s="221"/>
      <c r="AI19" s="216"/>
      <c r="AJ19" s="216"/>
      <c r="AK19" s="221"/>
      <c r="AL19" s="216"/>
      <c r="AM19" s="216"/>
      <c r="AN19" s="221"/>
    </row>
    <row r="20" customFormat="false" ht="16.5" hidden="false" customHeight="false" outlineLevel="0" collapsed="false">
      <c r="X20" s="216" t="n">
        <f aca="false">'Глубина-день'!A31</f>
        <v>12</v>
      </c>
      <c r="Y20" s="216" t="n">
        <f aca="false">'Глубина-день'!H31</f>
        <v>80</v>
      </c>
      <c r="Z20" s="216" t="n">
        <f aca="false">'Глубина-день'!I31</f>
        <v>0.5</v>
      </c>
      <c r="AA20" s="219" t="n">
        <f aca="false">Z20/24+AA19</f>
        <v>1.35416666666667</v>
      </c>
      <c r="AB20" s="216" t="n">
        <f aca="false">'Глубина-день'!K31</f>
        <v>80</v>
      </c>
      <c r="AC20" s="216" t="n">
        <f aca="false">'Глубина-день'!L31</f>
        <v>0.25</v>
      </c>
      <c r="AD20" s="219" t="n">
        <f aca="false">AC20/24+AD19</f>
        <v>1.19791666666667</v>
      </c>
      <c r="AE20" s="216" t="n">
        <f aca="false">'Глубина-день'!R31</f>
        <v>0.5</v>
      </c>
      <c r="AF20" s="219" t="n">
        <f aca="false">AE20/24+AF19</f>
        <v>1.35416666666667</v>
      </c>
      <c r="AG20" s="216"/>
      <c r="AH20" s="221"/>
      <c r="AI20" s="216"/>
      <c r="AJ20" s="216"/>
      <c r="AK20" s="221"/>
      <c r="AL20" s="216"/>
      <c r="AM20" s="216"/>
      <c r="AN20" s="221"/>
    </row>
    <row r="21" customFormat="false" ht="16.5" hidden="false" customHeight="false" outlineLevel="0" collapsed="false">
      <c r="X21" s="216" t="n">
        <f aca="false">'Глубина-день'!A32</f>
        <v>13</v>
      </c>
      <c r="Y21" s="216" t="n">
        <f aca="false">'Глубина-день'!H32</f>
        <v>81</v>
      </c>
      <c r="Z21" s="216" t="n">
        <f aca="false">'Глубина-день'!I32</f>
        <v>1</v>
      </c>
      <c r="AA21" s="219" t="n">
        <f aca="false">Z21/24+AA20</f>
        <v>1.39583333333333</v>
      </c>
      <c r="AB21" s="216" t="n">
        <f aca="false">'Глубина-день'!K32</f>
        <v>80</v>
      </c>
      <c r="AC21" s="216" t="n">
        <f aca="false">'Глубина-день'!L32</f>
        <v>1</v>
      </c>
      <c r="AD21" s="219" t="n">
        <f aca="false">AC21/24+AD20</f>
        <v>1.23958333333333</v>
      </c>
      <c r="AE21" s="216" t="n">
        <f aca="false">'Глубина-день'!R32</f>
        <v>1</v>
      </c>
      <c r="AF21" s="219" t="n">
        <f aca="false">AE21/24+AF20</f>
        <v>1.39583333333333</v>
      </c>
      <c r="AG21" s="216"/>
      <c r="AH21" s="221"/>
      <c r="AI21" s="216"/>
      <c r="AJ21" s="216"/>
      <c r="AK21" s="221"/>
      <c r="AL21" s="216"/>
      <c r="AM21" s="216"/>
      <c r="AN21" s="221"/>
    </row>
    <row r="22" customFormat="false" ht="16.5" hidden="false" customHeight="false" outlineLevel="0" collapsed="false">
      <c r="X22" s="216" t="n">
        <f aca="false">'Глубина-день'!A33</f>
        <v>14</v>
      </c>
      <c r="Y22" s="216" t="n">
        <f aca="false">'Глубина-день'!H33</f>
        <v>81</v>
      </c>
      <c r="Z22" s="216" t="n">
        <f aca="false">'Глубина-день'!I33</f>
        <v>1</v>
      </c>
      <c r="AA22" s="219" t="n">
        <f aca="false">Z22/24+AA21</f>
        <v>1.4375</v>
      </c>
      <c r="AB22" s="216" t="n">
        <f aca="false">'Глубина-день'!K33</f>
        <v>80</v>
      </c>
      <c r="AC22" s="216" t="n">
        <f aca="false">'Глубина-день'!L33</f>
        <v>0.5</v>
      </c>
      <c r="AD22" s="219" t="n">
        <f aca="false">AC22/24+AD21</f>
        <v>1.26041666666667</v>
      </c>
      <c r="AE22" s="216" t="n">
        <f aca="false">'Глубина-день'!R33</f>
        <v>1</v>
      </c>
      <c r="AF22" s="219" t="n">
        <f aca="false">AE22/24+AF21</f>
        <v>1.4375</v>
      </c>
      <c r="AG22" s="216"/>
      <c r="AH22" s="221"/>
      <c r="AI22" s="216"/>
      <c r="AJ22" s="216"/>
      <c r="AK22" s="221"/>
      <c r="AL22" s="216"/>
      <c r="AM22" s="216"/>
      <c r="AN22" s="221"/>
    </row>
    <row r="23" customFormat="false" ht="16.5" hidden="false" customHeight="false" outlineLevel="0" collapsed="false">
      <c r="X23" s="216" t="n">
        <f aca="false">'Глубина-день'!A34</f>
        <v>15</v>
      </c>
      <c r="Y23" s="216" t="n">
        <f aca="false">'Глубина-день'!H34</f>
        <v>1500</v>
      </c>
      <c r="Z23" s="216" t="n">
        <f aca="false">'Глубина-день'!I34</f>
        <v>45</v>
      </c>
      <c r="AA23" s="219" t="n">
        <f aca="false">Z23/24+AA22</f>
        <v>3.3125</v>
      </c>
      <c r="AB23" s="216" t="n">
        <f aca="false">'Глубина-день'!K34</f>
        <v>1500</v>
      </c>
      <c r="AC23" s="216" t="n">
        <f aca="false">'Глубина-день'!L34</f>
        <v>45</v>
      </c>
      <c r="AD23" s="219" t="n">
        <f aca="false">AC23/24+AD22</f>
        <v>3.13541666666667</v>
      </c>
      <c r="AE23" s="216" t="n">
        <f aca="false">'Глубина-день'!R34</f>
        <v>45</v>
      </c>
      <c r="AF23" s="219" t="n">
        <f aca="false">AE23/24+AF22</f>
        <v>3.3125</v>
      </c>
      <c r="AG23" s="216"/>
      <c r="AH23" s="221"/>
      <c r="AI23" s="216"/>
      <c r="AJ23" s="216"/>
      <c r="AK23" s="221"/>
      <c r="AL23" s="216"/>
      <c r="AM23" s="216"/>
      <c r="AN23" s="221"/>
    </row>
    <row r="24" customFormat="false" ht="16.5" hidden="false" customHeight="false" outlineLevel="0" collapsed="false">
      <c r="X24" s="216" t="n">
        <f aca="false">'Глубина-день'!A35</f>
        <v>16</v>
      </c>
      <c r="Y24" s="216" t="n">
        <f aca="false">'Глубина-день'!H35</f>
        <v>1500</v>
      </c>
      <c r="Z24" s="216" t="n">
        <f aca="false">'Глубина-день'!I35</f>
        <v>2</v>
      </c>
      <c r="AA24" s="219" t="n">
        <f aca="false">Z24/24+AA23</f>
        <v>3.39583333333333</v>
      </c>
      <c r="AB24" s="216" t="n">
        <f aca="false">'Глубина-день'!K35</f>
        <v>1500</v>
      </c>
      <c r="AC24" s="216" t="n">
        <f aca="false">'Глубина-день'!L35</f>
        <v>2</v>
      </c>
      <c r="AD24" s="219" t="n">
        <f aca="false">AC24/24+AD23</f>
        <v>3.21875</v>
      </c>
      <c r="AE24" s="216" t="n">
        <f aca="false">'Глубина-день'!R35</f>
        <v>2</v>
      </c>
      <c r="AF24" s="219" t="n">
        <f aca="false">AE24/24+AF23</f>
        <v>3.39583333333333</v>
      </c>
      <c r="AG24" s="216"/>
      <c r="AH24" s="221"/>
      <c r="AI24" s="216"/>
      <c r="AJ24" s="216"/>
      <c r="AK24" s="221"/>
      <c r="AL24" s="216"/>
      <c r="AM24" s="216"/>
      <c r="AN24" s="221"/>
    </row>
    <row r="25" customFormat="false" ht="16.5" hidden="false" customHeight="false" outlineLevel="0" collapsed="false">
      <c r="X25" s="216" t="n">
        <f aca="false">'Глубина-день'!A36</f>
        <v>17</v>
      </c>
      <c r="Y25" s="216" t="n">
        <f aca="false">'Глубина-день'!H36</f>
        <v>1500</v>
      </c>
      <c r="Z25" s="216" t="n">
        <f aca="false">'Глубина-день'!I36</f>
        <v>8</v>
      </c>
      <c r="AA25" s="219" t="n">
        <f aca="false">Z25/24+AA24</f>
        <v>3.72916666666667</v>
      </c>
      <c r="AB25" s="216" t="n">
        <f aca="false">'Глубина-день'!K36</f>
        <v>1500</v>
      </c>
      <c r="AC25" s="216" t="n">
        <f aca="false">'Глубина-день'!L36</f>
        <v>8</v>
      </c>
      <c r="AD25" s="219" t="n">
        <f aca="false">AC25/24+AD24</f>
        <v>3.55208333333333</v>
      </c>
      <c r="AE25" s="216" t="n">
        <f aca="false">'Глубина-день'!R36</f>
        <v>8</v>
      </c>
      <c r="AF25" s="219" t="n">
        <f aca="false">AE25/24+AF24</f>
        <v>3.72916666666667</v>
      </c>
      <c r="AG25" s="216"/>
      <c r="AH25" s="221"/>
      <c r="AI25" s="216"/>
      <c r="AJ25" s="216"/>
      <c r="AK25" s="221"/>
      <c r="AL25" s="216"/>
      <c r="AM25" s="216"/>
      <c r="AN25" s="221"/>
    </row>
    <row r="26" customFormat="false" ht="16.5" hidden="false" customHeight="false" outlineLevel="0" collapsed="false">
      <c r="X26" s="216" t="n">
        <f aca="false">'Глубина-день'!A37</f>
        <v>18</v>
      </c>
      <c r="Y26" s="216" t="n">
        <f aca="false">'Глубина-день'!H37</f>
        <v>1500</v>
      </c>
      <c r="Z26" s="216" t="n">
        <f aca="false">'Глубина-день'!I37</f>
        <v>7</v>
      </c>
      <c r="AA26" s="219" t="n">
        <f aca="false">Z26/24+AA25</f>
        <v>4.02083333333333</v>
      </c>
      <c r="AB26" s="216" t="n">
        <f aca="false">'Глубина-день'!K37</f>
        <v>1500</v>
      </c>
      <c r="AC26" s="216" t="n">
        <f aca="false">'Глубина-день'!L37</f>
        <v>5.75</v>
      </c>
      <c r="AD26" s="219" t="n">
        <f aca="false">AC26/24+AD25</f>
        <v>3.79166666666667</v>
      </c>
      <c r="AE26" s="216" t="n">
        <f aca="false">'Глубина-день'!R37</f>
        <v>7</v>
      </c>
      <c r="AF26" s="219" t="n">
        <f aca="false">AE26/24+AF25</f>
        <v>4.02083333333333</v>
      </c>
      <c r="AG26" s="216"/>
      <c r="AH26" s="221"/>
      <c r="AI26" s="216"/>
      <c r="AJ26" s="216"/>
      <c r="AK26" s="221"/>
      <c r="AL26" s="216"/>
      <c r="AM26" s="216"/>
      <c r="AN26" s="221"/>
    </row>
    <row r="27" customFormat="false" ht="16.5" hidden="false" customHeight="false" outlineLevel="0" collapsed="false">
      <c r="X27" s="216" t="n">
        <f aca="false">'Глубина-день'!A38</f>
        <v>19</v>
      </c>
      <c r="Y27" s="216" t="n">
        <f aca="false">'Глубина-день'!H38</f>
        <v>1500</v>
      </c>
      <c r="Z27" s="216" t="n">
        <f aca="false">'Глубина-день'!I38</f>
        <v>2</v>
      </c>
      <c r="AA27" s="219" t="n">
        <f aca="false">Z27/24+AA26</f>
        <v>4.10416666666667</v>
      </c>
      <c r="AB27" s="216" t="n">
        <f aca="false">'Глубина-день'!K38</f>
        <v>1500</v>
      </c>
      <c r="AC27" s="216" t="n">
        <f aca="false">'Глубина-день'!L38</f>
        <v>2</v>
      </c>
      <c r="AD27" s="219" t="n">
        <f aca="false">AC27/24+AD26</f>
        <v>3.875</v>
      </c>
      <c r="AE27" s="216" t="n">
        <f aca="false">'Глубина-день'!R38</f>
        <v>2</v>
      </c>
      <c r="AF27" s="219" t="n">
        <f aca="false">AE27/24+AF26</f>
        <v>4.10416666666667</v>
      </c>
      <c r="AG27" s="216"/>
      <c r="AH27" s="221"/>
      <c r="AI27" s="216"/>
      <c r="AJ27" s="216"/>
      <c r="AK27" s="221"/>
      <c r="AL27" s="216"/>
      <c r="AM27" s="216"/>
      <c r="AN27" s="221"/>
    </row>
    <row r="28" customFormat="false" ht="16.5" hidden="false" customHeight="false" outlineLevel="0" collapsed="false">
      <c r="X28" s="216" t="n">
        <f aca="false">'Глубина-день'!A39</f>
        <v>20</v>
      </c>
      <c r="Y28" s="216" t="n">
        <f aca="false">'Глубина-день'!H39</f>
        <v>1500</v>
      </c>
      <c r="Z28" s="216" t="n">
        <f aca="false">'Глубина-день'!I39</f>
        <v>7</v>
      </c>
      <c r="AA28" s="219" t="n">
        <f aca="false">Z28/24+AA27</f>
        <v>4.39583333333333</v>
      </c>
      <c r="AB28" s="216" t="n">
        <f aca="false">'Глубина-день'!K39</f>
        <v>1500</v>
      </c>
      <c r="AC28" s="216" t="n">
        <f aca="false">'Глубина-день'!L39</f>
        <v>4.5</v>
      </c>
      <c r="AD28" s="219" t="n">
        <f aca="false">AC28/24+AD27</f>
        <v>4.0625</v>
      </c>
      <c r="AE28" s="216" t="n">
        <f aca="false">'Глубина-день'!R39</f>
        <v>7</v>
      </c>
      <c r="AF28" s="219" t="n">
        <f aca="false">AE28/24+AF27</f>
        <v>4.39583333333333</v>
      </c>
      <c r="AG28" s="216"/>
      <c r="AH28" s="221"/>
      <c r="AI28" s="216"/>
      <c r="AJ28" s="216"/>
      <c r="AK28" s="221"/>
      <c r="AL28" s="216"/>
      <c r="AM28" s="216"/>
      <c r="AN28" s="221"/>
    </row>
    <row r="29" customFormat="false" ht="16.5" hidden="false" customHeight="false" outlineLevel="0" collapsed="false">
      <c r="X29" s="216" t="n">
        <f aca="false">'Глубина-день'!A40</f>
        <v>21</v>
      </c>
      <c r="Y29" s="216" t="n">
        <f aca="false">'Глубина-день'!H40</f>
        <v>1500</v>
      </c>
      <c r="Z29" s="216" t="n">
        <f aca="false">'Глубина-день'!I40</f>
        <v>3</v>
      </c>
      <c r="AA29" s="219" t="n">
        <f aca="false">Z29/24+AA28</f>
        <v>4.52083333333333</v>
      </c>
      <c r="AB29" s="216" t="n">
        <f aca="false">'Глубина-день'!K40</f>
        <v>1500</v>
      </c>
      <c r="AC29" s="216" t="n">
        <f aca="false">'Глубина-день'!L40</f>
        <v>3</v>
      </c>
      <c r="AD29" s="219" t="n">
        <f aca="false">AC29/24+AD28</f>
        <v>4.1875</v>
      </c>
      <c r="AE29" s="216" t="n">
        <f aca="false">'Глубина-день'!R40</f>
        <v>3</v>
      </c>
      <c r="AF29" s="219" t="n">
        <f aca="false">AE29/24+AF28</f>
        <v>4.52083333333333</v>
      </c>
      <c r="AG29" s="216"/>
      <c r="AH29" s="221"/>
      <c r="AI29" s="216"/>
      <c r="AJ29" s="216"/>
      <c r="AK29" s="221"/>
      <c r="AL29" s="216"/>
      <c r="AM29" s="216"/>
      <c r="AN29" s="221"/>
    </row>
    <row r="30" customFormat="false" ht="16.5" hidden="false" customHeight="false" outlineLevel="0" collapsed="false">
      <c r="X30" s="216" t="n">
        <f aca="false">'Глубина-день'!A41</f>
        <v>22</v>
      </c>
      <c r="Y30" s="216" t="n">
        <f aca="false">'Глубина-день'!H41</f>
        <v>1500</v>
      </c>
      <c r="Z30" s="216" t="n">
        <f aca="false">'Глубина-день'!I41</f>
        <v>1</v>
      </c>
      <c r="AA30" s="219" t="n">
        <f aca="false">Z30/24+AA29</f>
        <v>4.5625</v>
      </c>
      <c r="AB30" s="216" t="n">
        <f aca="false">'Глубина-день'!K41</f>
        <v>1500</v>
      </c>
      <c r="AC30" s="216" t="n">
        <f aca="false">'Глубина-день'!L41</f>
        <v>0.5</v>
      </c>
      <c r="AD30" s="219" t="n">
        <f aca="false">AC30/24+AD29</f>
        <v>4.20833333333333</v>
      </c>
      <c r="AE30" s="216" t="n">
        <f aca="false">'Глубина-день'!R41</f>
        <v>1</v>
      </c>
      <c r="AF30" s="219" t="n">
        <f aca="false">AE30/24+AF29</f>
        <v>4.5625</v>
      </c>
      <c r="AG30" s="216"/>
      <c r="AH30" s="221"/>
      <c r="AI30" s="216"/>
      <c r="AJ30" s="216"/>
      <c r="AK30" s="221"/>
      <c r="AL30" s="216"/>
      <c r="AM30" s="216"/>
      <c r="AN30" s="221"/>
    </row>
    <row r="31" customFormat="false" ht="16.5" hidden="false" customHeight="false" outlineLevel="0" collapsed="false">
      <c r="X31" s="216" t="n">
        <f aca="false">'Глубина-день'!A42</f>
        <v>23</v>
      </c>
      <c r="Y31" s="216" t="n">
        <f aca="false">'Глубина-день'!H42</f>
        <v>1500</v>
      </c>
      <c r="Z31" s="216" t="n">
        <f aca="false">'Глубина-день'!I42</f>
        <v>13</v>
      </c>
      <c r="AA31" s="219" t="n">
        <f aca="false">Z31/24+AA30</f>
        <v>5.10416666666667</v>
      </c>
      <c r="AB31" s="216" t="n">
        <f aca="false">'Глубина-день'!K42</f>
        <v>1500</v>
      </c>
      <c r="AC31" s="216" t="n">
        <f aca="false">'Глубина-день'!L42</f>
        <v>11</v>
      </c>
      <c r="AD31" s="219" t="n">
        <f aca="false">AC31/24+AD30</f>
        <v>4.66666666666667</v>
      </c>
      <c r="AE31" s="216" t="n">
        <f aca="false">'Глубина-день'!R42</f>
        <v>13</v>
      </c>
      <c r="AF31" s="219" t="n">
        <f aca="false">AE31/24+AF30</f>
        <v>5.10416666666667</v>
      </c>
      <c r="AG31" s="216"/>
      <c r="AH31" s="221"/>
      <c r="AI31" s="216"/>
      <c r="AJ31" s="216"/>
      <c r="AK31" s="221"/>
      <c r="AL31" s="216"/>
      <c r="AM31" s="216"/>
      <c r="AN31" s="221"/>
    </row>
    <row r="32" customFormat="false" ht="16.5" hidden="false" customHeight="false" outlineLevel="0" collapsed="false">
      <c r="X32" s="216" t="n">
        <f aca="false">'Глубина-день'!A43</f>
        <v>24</v>
      </c>
      <c r="Y32" s="216" t="n">
        <f aca="false">'Глубина-день'!H43</f>
        <v>1500</v>
      </c>
      <c r="Z32" s="216" t="n">
        <f aca="false">'Глубина-день'!I43</f>
        <v>2</v>
      </c>
      <c r="AA32" s="219" t="n">
        <f aca="false">Z32/24+AA31</f>
        <v>5.1875</v>
      </c>
      <c r="AB32" s="216" t="n">
        <f aca="false">'Глубина-день'!K43</f>
        <v>1500</v>
      </c>
      <c r="AC32" s="216" t="n">
        <f aca="false">'Глубина-день'!L43</f>
        <v>2</v>
      </c>
      <c r="AD32" s="219" t="n">
        <f aca="false">AC32/24+AD31</f>
        <v>4.75</v>
      </c>
      <c r="AE32" s="216" t="n">
        <f aca="false">'Глубина-день'!R43</f>
        <v>2</v>
      </c>
      <c r="AF32" s="219" t="n">
        <f aca="false">AE32/24+AF31</f>
        <v>5.1875</v>
      </c>
      <c r="AG32" s="216"/>
      <c r="AH32" s="221"/>
      <c r="AI32" s="216"/>
      <c r="AJ32" s="216"/>
      <c r="AK32" s="221"/>
      <c r="AL32" s="216"/>
      <c r="AM32" s="216"/>
      <c r="AN32" s="221"/>
    </row>
    <row r="33" customFormat="false" ht="16.5" hidden="false" customHeight="false" outlineLevel="0" collapsed="false">
      <c r="X33" s="216" t="n">
        <f aca="false">'Глубина-день'!A44</f>
        <v>25</v>
      </c>
      <c r="Y33" s="216" t="n">
        <f aca="false">'Глубина-день'!H44</f>
        <v>1500</v>
      </c>
      <c r="Z33" s="216" t="n">
        <f aca="false">'Глубина-день'!I44</f>
        <v>3</v>
      </c>
      <c r="AA33" s="219" t="n">
        <f aca="false">Z33/24+AA32</f>
        <v>5.3125</v>
      </c>
      <c r="AB33" s="216" t="n">
        <f aca="false">'Глубина-день'!K44</f>
        <v>1500</v>
      </c>
      <c r="AC33" s="216" t="n">
        <f aca="false">'Глубина-день'!L44</f>
        <v>3</v>
      </c>
      <c r="AD33" s="219" t="n">
        <f aca="false">AC33/24+AD32</f>
        <v>4.875</v>
      </c>
      <c r="AE33" s="216" t="n">
        <f aca="false">'Глубина-день'!R44</f>
        <v>3</v>
      </c>
      <c r="AF33" s="219" t="n">
        <f aca="false">AE33/24+AF32</f>
        <v>5.3125</v>
      </c>
      <c r="AG33" s="216"/>
      <c r="AH33" s="221"/>
      <c r="AI33" s="216"/>
      <c r="AJ33" s="216"/>
      <c r="AK33" s="221"/>
      <c r="AL33" s="216"/>
      <c r="AM33" s="216"/>
      <c r="AN33" s="221"/>
    </row>
    <row r="34" customFormat="false" ht="16.5" hidden="false" customHeight="false" outlineLevel="0" collapsed="false">
      <c r="X34" s="216" t="n">
        <f aca="false">'Глубина-день'!A45</f>
        <v>26</v>
      </c>
      <c r="Y34" s="216" t="n">
        <f aca="false">'Глубина-день'!H45</f>
        <v>1500</v>
      </c>
      <c r="Z34" s="216" t="n">
        <f aca="false">'Глубина-день'!I45</f>
        <v>2</v>
      </c>
      <c r="AA34" s="219" t="n">
        <f aca="false">Z34/24+AA33</f>
        <v>5.39583333333333</v>
      </c>
      <c r="AB34" s="216" t="n">
        <f aca="false">'Глубина-день'!K45</f>
        <v>1500</v>
      </c>
      <c r="AC34" s="216" t="n">
        <f aca="false">'Глубина-день'!L45</f>
        <v>2</v>
      </c>
      <c r="AD34" s="219" t="n">
        <f aca="false">AC34/24+AD33</f>
        <v>4.95833333333333</v>
      </c>
      <c r="AE34" s="216" t="n">
        <f aca="false">'Глубина-день'!R45</f>
        <v>2</v>
      </c>
      <c r="AF34" s="219" t="n">
        <f aca="false">AE34/24+AF33</f>
        <v>5.39583333333333</v>
      </c>
      <c r="AG34" s="216"/>
      <c r="AH34" s="221"/>
      <c r="AI34" s="216"/>
      <c r="AJ34" s="216"/>
      <c r="AK34" s="221"/>
      <c r="AL34" s="216"/>
      <c r="AM34" s="216"/>
      <c r="AN34" s="221"/>
    </row>
    <row r="35" customFormat="false" ht="16.5" hidden="false" customHeight="false" outlineLevel="0" collapsed="false">
      <c r="X35" s="216" t="n">
        <f aca="false">'Глубина-день'!A46</f>
        <v>27</v>
      </c>
      <c r="Y35" s="216" t="n">
        <f aca="false">'Глубина-день'!H46</f>
        <v>1500</v>
      </c>
      <c r="Z35" s="216" t="n">
        <f aca="false">'Глубина-день'!I46</f>
        <v>6</v>
      </c>
      <c r="AA35" s="219" t="n">
        <f aca="false">Z35/24+AA34</f>
        <v>5.64583333333333</v>
      </c>
      <c r="AB35" s="216" t="n">
        <f aca="false">'Глубина-день'!K46</f>
        <v>1500</v>
      </c>
      <c r="AC35" s="216" t="n">
        <f aca="false">'Глубина-день'!L46</f>
        <v>6</v>
      </c>
      <c r="AD35" s="219" t="n">
        <f aca="false">AC35/24+AD34</f>
        <v>5.20833333333333</v>
      </c>
      <c r="AE35" s="216" t="n">
        <f aca="false">'Глубина-день'!R46</f>
        <v>6</v>
      </c>
      <c r="AF35" s="219" t="n">
        <f aca="false">AE35/24+AF34</f>
        <v>5.64583333333333</v>
      </c>
      <c r="AG35" s="216"/>
      <c r="AH35" s="221"/>
      <c r="AI35" s="216"/>
      <c r="AJ35" s="216"/>
      <c r="AK35" s="221"/>
      <c r="AL35" s="216"/>
      <c r="AM35" s="216"/>
      <c r="AN35" s="221"/>
    </row>
    <row r="36" customFormat="false" ht="16.5" hidden="false" customHeight="false" outlineLevel="0" collapsed="false">
      <c r="X36" s="216" t="n">
        <f aca="false">'Глубина-день'!A47</f>
        <v>28</v>
      </c>
      <c r="Y36" s="216" t="n">
        <f aca="false">'Глубина-день'!H47</f>
        <v>1500</v>
      </c>
      <c r="Z36" s="216" t="n">
        <f aca="false">'Глубина-день'!I47</f>
        <v>2</v>
      </c>
      <c r="AA36" s="219" t="n">
        <f aca="false">Z36/24+AA35</f>
        <v>5.72916666666667</v>
      </c>
      <c r="AB36" s="216" t="n">
        <f aca="false">'Глубина-день'!K47</f>
        <v>1500</v>
      </c>
      <c r="AC36" s="216" t="n">
        <f aca="false">'Глубина-день'!L47</f>
        <v>8</v>
      </c>
      <c r="AD36" s="219" t="n">
        <f aca="false">AC36/24+AD35</f>
        <v>5.54166666666667</v>
      </c>
      <c r="AE36" s="216" t="n">
        <f aca="false">'Глубина-день'!R47</f>
        <v>2</v>
      </c>
      <c r="AF36" s="219" t="n">
        <f aca="false">AE36/24+AF35</f>
        <v>5.72916666666667</v>
      </c>
      <c r="AG36" s="216"/>
      <c r="AH36" s="221"/>
      <c r="AI36" s="216"/>
      <c r="AJ36" s="216"/>
      <c r="AK36" s="221"/>
      <c r="AL36" s="216"/>
      <c r="AM36" s="216"/>
      <c r="AN36" s="221"/>
    </row>
    <row r="37" customFormat="false" ht="16.5" hidden="false" customHeight="false" outlineLevel="0" collapsed="false">
      <c r="X37" s="216" t="n">
        <f aca="false">'Глубина-день'!A48</f>
        <v>29</v>
      </c>
      <c r="Y37" s="216" t="n">
        <f aca="false">'Глубина-день'!H48</f>
        <v>1500</v>
      </c>
      <c r="Z37" s="216" t="n">
        <f aca="false">'Глубина-день'!I48</f>
        <v>4</v>
      </c>
      <c r="AA37" s="219" t="n">
        <f aca="false">Z37/24+AA36</f>
        <v>5.89583333333333</v>
      </c>
      <c r="AB37" s="216" t="n">
        <f aca="false">'Глубина-день'!K48</f>
        <v>1500</v>
      </c>
      <c r="AC37" s="216" t="n">
        <f aca="false">'Глубина-день'!L48</f>
        <v>3</v>
      </c>
      <c r="AD37" s="219" t="n">
        <f aca="false">AC37/24+AD36</f>
        <v>5.66666666666667</v>
      </c>
      <c r="AE37" s="216" t="n">
        <f aca="false">'Глубина-день'!R48</f>
        <v>4</v>
      </c>
      <c r="AF37" s="219" t="n">
        <f aca="false">AE37/24+AF36</f>
        <v>5.89583333333333</v>
      </c>
      <c r="AG37" s="216"/>
      <c r="AH37" s="221"/>
      <c r="AI37" s="216"/>
      <c r="AJ37" s="216"/>
      <c r="AK37" s="221"/>
      <c r="AL37" s="216"/>
      <c r="AM37" s="216"/>
      <c r="AN37" s="221"/>
    </row>
    <row r="38" customFormat="false" ht="16.5" hidden="false" customHeight="false" outlineLevel="0" collapsed="false">
      <c r="X38" s="216" t="n">
        <f aca="false">'Глубина-день'!A49</f>
        <v>30</v>
      </c>
      <c r="Y38" s="216" t="n">
        <f aca="false">'Глубина-день'!H49</f>
        <v>1500</v>
      </c>
      <c r="Z38" s="216" t="n">
        <f aca="false">'Глубина-день'!I49</f>
        <v>12</v>
      </c>
      <c r="AA38" s="219" t="n">
        <f aca="false">Z38/24+AA37</f>
        <v>6.39583333333333</v>
      </c>
      <c r="AB38" s="216" t="n">
        <f aca="false">'Глубина-день'!K49</f>
        <v>1500</v>
      </c>
      <c r="AC38" s="216" t="n">
        <f aca="false">'Глубина-день'!L49</f>
        <v>12</v>
      </c>
      <c r="AD38" s="219" t="n">
        <f aca="false">AC38/24+AD37</f>
        <v>6.16666666666667</v>
      </c>
      <c r="AE38" s="216" t="n">
        <f aca="false">'Глубина-день'!R49</f>
        <v>12</v>
      </c>
      <c r="AF38" s="219" t="n">
        <f aca="false">AE38/24+AF37</f>
        <v>6.39583333333333</v>
      </c>
      <c r="AG38" s="216"/>
      <c r="AH38" s="221"/>
      <c r="AI38" s="216"/>
      <c r="AJ38" s="216"/>
      <c r="AK38" s="221"/>
      <c r="AL38" s="216"/>
      <c r="AM38" s="216"/>
      <c r="AN38" s="221"/>
    </row>
    <row r="39" customFormat="false" ht="16.5" hidden="false" customHeight="false" outlineLevel="0" collapsed="false">
      <c r="X39" s="216" t="n">
        <f aca="false">'Глубина-день'!A50</f>
        <v>31</v>
      </c>
      <c r="Y39" s="216" t="n">
        <f aca="false">'Глубина-день'!H50</f>
        <v>1500</v>
      </c>
      <c r="Z39" s="216" t="n">
        <f aca="false">'Глубина-день'!I50</f>
        <v>1.5</v>
      </c>
      <c r="AA39" s="219" t="n">
        <f aca="false">Z39/24+AA38</f>
        <v>6.45833333333333</v>
      </c>
      <c r="AB39" s="216" t="n">
        <f aca="false">'Глубина-день'!K50</f>
        <v>1500</v>
      </c>
      <c r="AC39" s="216" t="n">
        <f aca="false">'Глубина-день'!L50</f>
        <v>1.5</v>
      </c>
      <c r="AD39" s="219" t="n">
        <f aca="false">AC39/24+AD38</f>
        <v>6.22916666666667</v>
      </c>
      <c r="AE39" s="216" t="n">
        <f aca="false">'Глубина-день'!R50</f>
        <v>1.5</v>
      </c>
      <c r="AF39" s="219" t="n">
        <f aca="false">AE39/24+AF38</f>
        <v>6.45833333333333</v>
      </c>
      <c r="AG39" s="216"/>
      <c r="AH39" s="221"/>
      <c r="AI39" s="216"/>
      <c r="AJ39" s="216"/>
      <c r="AK39" s="221"/>
      <c r="AL39" s="216"/>
      <c r="AM39" s="216"/>
      <c r="AN39" s="221"/>
    </row>
    <row r="40" customFormat="false" ht="16.5" hidden="false" customHeight="false" outlineLevel="0" collapsed="false">
      <c r="X40" s="216" t="n">
        <f aca="false">'Глубина-день'!A51</f>
        <v>32</v>
      </c>
      <c r="Y40" s="216" t="n">
        <f aca="false">'Глубина-день'!H51</f>
        <v>1500</v>
      </c>
      <c r="Z40" s="216" t="n">
        <f aca="false">'Глубина-день'!I51</f>
        <v>2.5</v>
      </c>
      <c r="AA40" s="219" t="n">
        <f aca="false">Z40/24+AA39</f>
        <v>6.5625</v>
      </c>
      <c r="AB40" s="216" t="n">
        <f aca="false">'Глубина-день'!K51</f>
        <v>1500</v>
      </c>
      <c r="AC40" s="216" t="n">
        <f aca="false">'Глубина-день'!L51</f>
        <v>2.5</v>
      </c>
      <c r="AD40" s="219" t="n">
        <f aca="false">AC40/24+AD39</f>
        <v>6.33333333333333</v>
      </c>
      <c r="AE40" s="216" t="n">
        <f aca="false">'Глубина-день'!R51</f>
        <v>2.5</v>
      </c>
      <c r="AF40" s="219" t="n">
        <f aca="false">AE40/24+AF39</f>
        <v>6.5625</v>
      </c>
      <c r="AG40" s="216"/>
      <c r="AH40" s="221"/>
      <c r="AI40" s="216"/>
      <c r="AJ40" s="216"/>
      <c r="AK40" s="221"/>
      <c r="AL40" s="216"/>
      <c r="AM40" s="216"/>
      <c r="AN40" s="221"/>
    </row>
    <row r="41" customFormat="false" ht="16.5" hidden="false" customHeight="false" outlineLevel="0" collapsed="false">
      <c r="X41" s="216" t="n">
        <f aca="false">'Глубина-день'!A52</f>
        <v>33</v>
      </c>
      <c r="Y41" s="216" t="n">
        <f aca="false">'Глубина-день'!H52</f>
        <v>1500</v>
      </c>
      <c r="Z41" s="216" t="n">
        <f aca="false">'Глубина-день'!I52</f>
        <v>1</v>
      </c>
      <c r="AA41" s="219" t="n">
        <f aca="false">Z41/24+AA40</f>
        <v>6.60416666666667</v>
      </c>
      <c r="AB41" s="216" t="n">
        <f aca="false">'Глубина-день'!K52</f>
        <v>1500</v>
      </c>
      <c r="AC41" s="216" t="n">
        <f aca="false">'Глубина-день'!L52</f>
        <v>1</v>
      </c>
      <c r="AD41" s="219" t="n">
        <f aca="false">AC41/24+AD40</f>
        <v>6.375</v>
      </c>
      <c r="AE41" s="216" t="n">
        <f aca="false">'Глубина-день'!R52</f>
        <v>1</v>
      </c>
      <c r="AF41" s="219" t="n">
        <f aca="false">AE41/24+AF40</f>
        <v>6.60416666666667</v>
      </c>
      <c r="AG41" s="216"/>
      <c r="AH41" s="221"/>
      <c r="AI41" s="216"/>
      <c r="AJ41" s="216"/>
      <c r="AK41" s="221"/>
      <c r="AL41" s="216"/>
      <c r="AM41" s="216"/>
      <c r="AN41" s="221"/>
    </row>
    <row r="42" customFormat="false" ht="16.5" hidden="false" customHeight="false" outlineLevel="0" collapsed="false">
      <c r="B42" s="222"/>
      <c r="C42" s="222"/>
      <c r="D42" s="223"/>
      <c r="E42" s="224"/>
      <c r="F42" s="225"/>
      <c r="G42" s="222"/>
      <c r="H42" s="222"/>
      <c r="I42" s="226"/>
      <c r="X42" s="216" t="n">
        <f aca="false">'Глубина-день'!A53</f>
        <v>34</v>
      </c>
      <c r="Y42" s="216" t="n">
        <f aca="false">'Глубина-день'!H53</f>
        <v>1500</v>
      </c>
      <c r="Z42" s="216" t="n">
        <f aca="false">'Глубина-день'!I53</f>
        <v>1</v>
      </c>
      <c r="AA42" s="219" t="n">
        <f aca="false">Z42/24+AA41</f>
        <v>6.64583333333334</v>
      </c>
      <c r="AB42" s="216" t="n">
        <f aca="false">'Глубина-день'!K53</f>
        <v>1500</v>
      </c>
      <c r="AC42" s="216" t="n">
        <f aca="false">'Глубина-день'!L53</f>
        <v>1</v>
      </c>
      <c r="AD42" s="219" t="n">
        <f aca="false">AC42/24+AD41</f>
        <v>6.41666666666667</v>
      </c>
      <c r="AE42" s="216" t="n">
        <f aca="false">'Глубина-день'!R53</f>
        <v>1</v>
      </c>
      <c r="AF42" s="219" t="n">
        <f aca="false">AE42/24+AF41</f>
        <v>6.64583333333334</v>
      </c>
      <c r="AG42" s="216"/>
      <c r="AH42" s="221"/>
      <c r="AI42" s="216"/>
      <c r="AJ42" s="216"/>
      <c r="AK42" s="221"/>
      <c r="AL42" s="216"/>
      <c r="AM42" s="216"/>
      <c r="AN42" s="221"/>
    </row>
    <row r="43" customFormat="false" ht="16.5" hidden="false" customHeight="false" outlineLevel="0" collapsed="false">
      <c r="B43" s="222"/>
      <c r="C43" s="222"/>
      <c r="D43" s="223"/>
      <c r="E43" s="224"/>
      <c r="F43" s="225"/>
      <c r="G43" s="222"/>
      <c r="H43" s="222"/>
      <c r="I43" s="226"/>
      <c r="X43" s="216" t="n">
        <f aca="false">'Глубина-день'!A54</f>
        <v>35</v>
      </c>
      <c r="Y43" s="216" t="n">
        <f aca="false">'Глубина-день'!H54</f>
        <v>3286</v>
      </c>
      <c r="Z43" s="216" t="n">
        <f aca="false">'Глубина-день'!I54</f>
        <v>80</v>
      </c>
      <c r="AA43" s="219" t="n">
        <f aca="false">Z43/24+AA42</f>
        <v>9.97916666666667</v>
      </c>
      <c r="AB43" s="216" t="n">
        <f aca="false">'Глубина-день'!K54</f>
        <v>3286</v>
      </c>
      <c r="AC43" s="216" t="n">
        <f aca="false">'Глубина-день'!L54</f>
        <v>134.25</v>
      </c>
      <c r="AD43" s="219" t="n">
        <f aca="false">AC43/24+AD42</f>
        <v>12.0104166666667</v>
      </c>
      <c r="AE43" s="216" t="n">
        <f aca="false">'Глубина-день'!R54</f>
        <v>80</v>
      </c>
      <c r="AF43" s="219" t="n">
        <f aca="false">AE43/24+AF42</f>
        <v>9.97916666666667</v>
      </c>
      <c r="AG43" s="216"/>
      <c r="AH43" s="221"/>
      <c r="AI43" s="216"/>
      <c r="AJ43" s="216"/>
      <c r="AK43" s="221"/>
      <c r="AL43" s="216"/>
      <c r="AM43" s="216"/>
      <c r="AN43" s="221"/>
    </row>
    <row r="44" customFormat="false" ht="16.5" hidden="false" customHeight="false" outlineLevel="0" collapsed="false">
      <c r="B44" s="222"/>
      <c r="C44" s="222"/>
      <c r="D44" s="223"/>
      <c r="E44" s="224"/>
      <c r="F44" s="225"/>
      <c r="G44" s="222"/>
      <c r="H44" s="222"/>
      <c r="I44" s="226"/>
      <c r="X44" s="216" t="n">
        <f aca="false">'Глубина-день'!A55</f>
        <v>36</v>
      </c>
      <c r="Y44" s="216" t="n">
        <f aca="false">'Глубина-день'!H55</f>
        <v>3286</v>
      </c>
      <c r="Z44" s="216" t="n">
        <f aca="false">'Глубина-день'!I55</f>
        <v>3</v>
      </c>
      <c r="AA44" s="219" t="n">
        <f aca="false">Z44/24+AA43</f>
        <v>10.1041666666667</v>
      </c>
      <c r="AB44" s="216" t="n">
        <f aca="false">'Глубина-день'!K55</f>
        <v>3286</v>
      </c>
      <c r="AC44" s="216" t="n">
        <f aca="false">'Глубина-день'!L55</f>
        <v>3</v>
      </c>
      <c r="AD44" s="219" t="n">
        <f aca="false">AC44/24+AD43</f>
        <v>12.1354166666667</v>
      </c>
      <c r="AE44" s="216" t="n">
        <f aca="false">'Глубина-день'!R55</f>
        <v>3</v>
      </c>
      <c r="AF44" s="219" t="n">
        <f aca="false">AE44/24+AF43</f>
        <v>10.1041666666667</v>
      </c>
      <c r="AG44" s="216"/>
      <c r="AH44" s="221"/>
      <c r="AI44" s="216"/>
      <c r="AJ44" s="216"/>
      <c r="AK44" s="221"/>
      <c r="AL44" s="216"/>
      <c r="AM44" s="216"/>
      <c r="AN44" s="221"/>
    </row>
    <row r="45" customFormat="false" ht="16.5" hidden="false" customHeight="false" outlineLevel="0" collapsed="false">
      <c r="X45" s="216" t="n">
        <f aca="false">'Глубина-день'!A56</f>
        <v>37</v>
      </c>
      <c r="Y45" s="216" t="n">
        <f aca="false">'Глубина-день'!H56</f>
        <v>3286</v>
      </c>
      <c r="Z45" s="216" t="n">
        <f aca="false">'Глубина-день'!I56</f>
        <v>9</v>
      </c>
      <c r="AA45" s="219" t="n">
        <f aca="false">Z45/24+AA44</f>
        <v>10.4791666666667</v>
      </c>
      <c r="AB45" s="216" t="n">
        <f aca="false">'Глубина-день'!K56</f>
        <v>3286</v>
      </c>
      <c r="AC45" s="216" t="n">
        <f aca="false">'Глубина-день'!L56</f>
        <v>8.75</v>
      </c>
      <c r="AD45" s="219" t="n">
        <f aca="false">AC45/24+AD44</f>
        <v>12.5</v>
      </c>
      <c r="AE45" s="216" t="n">
        <f aca="false">'Глубина-день'!R56</f>
        <v>9</v>
      </c>
      <c r="AF45" s="219" t="n">
        <f aca="false">AE45/24+AF44</f>
        <v>10.4791666666667</v>
      </c>
      <c r="AG45" s="216"/>
      <c r="AH45" s="221"/>
      <c r="AI45" s="216"/>
      <c r="AJ45" s="216"/>
      <c r="AK45" s="221"/>
      <c r="AL45" s="216"/>
      <c r="AM45" s="216"/>
      <c r="AN45" s="221"/>
    </row>
    <row r="46" customFormat="false" ht="16.5" hidden="false" customHeight="false" outlineLevel="0" collapsed="false">
      <c r="X46" s="216" t="n">
        <f aca="false">'Глубина-день'!A57</f>
        <v>38</v>
      </c>
      <c r="Y46" s="216" t="n">
        <f aca="false">'Глубина-день'!H57</f>
        <v>3286</v>
      </c>
      <c r="Z46" s="216" t="n">
        <f aca="false">'Глубина-день'!I57</f>
        <v>8</v>
      </c>
      <c r="AA46" s="219" t="n">
        <f aca="false">Z46/24+AA45</f>
        <v>10.8125</v>
      </c>
      <c r="AB46" s="216" t="n">
        <f aca="false">'Глубина-день'!K57</f>
        <v>3286</v>
      </c>
      <c r="AC46" s="216" t="n">
        <f aca="false">'Глубина-день'!L57</f>
        <v>7.5</v>
      </c>
      <c r="AD46" s="219" t="n">
        <f aca="false">AC46/24+AD45</f>
        <v>12.8125</v>
      </c>
      <c r="AE46" s="216" t="n">
        <f aca="false">'Глубина-день'!R57</f>
        <v>8</v>
      </c>
      <c r="AF46" s="219" t="n">
        <f aca="false">AE46/24+AF45</f>
        <v>10.8125</v>
      </c>
      <c r="AG46" s="216"/>
      <c r="AH46" s="221"/>
      <c r="AI46" s="216"/>
      <c r="AJ46" s="216"/>
      <c r="AK46" s="221"/>
      <c r="AL46" s="216"/>
      <c r="AM46" s="216"/>
      <c r="AN46" s="221"/>
    </row>
    <row r="47" customFormat="false" ht="16.5" hidden="false" customHeight="false" outlineLevel="0" collapsed="false">
      <c r="X47" s="216" t="n">
        <f aca="false">'Глубина-день'!A58</f>
        <v>39</v>
      </c>
      <c r="Y47" s="216" t="n">
        <f aca="false">'Глубина-день'!H58</f>
        <v>3286</v>
      </c>
      <c r="Z47" s="216" t="n">
        <f aca="false">'Глубина-день'!I58</f>
        <v>3</v>
      </c>
      <c r="AA47" s="219" t="n">
        <f aca="false">Z47/24+AA46</f>
        <v>10.9375</v>
      </c>
      <c r="AB47" s="216" t="n">
        <f aca="false">'Глубина-день'!K58</f>
        <v>3286</v>
      </c>
      <c r="AC47" s="216" t="n">
        <f aca="false">'Глубина-день'!L58</f>
        <v>3</v>
      </c>
      <c r="AD47" s="219" t="n">
        <f aca="false">AC47/24+AD46</f>
        <v>12.9375</v>
      </c>
      <c r="AE47" s="216" t="n">
        <f aca="false">'Глубина-день'!R58</f>
        <v>3</v>
      </c>
      <c r="AF47" s="219" t="n">
        <f aca="false">AE47/24+AF46</f>
        <v>10.9375</v>
      </c>
      <c r="AG47" s="216"/>
      <c r="AH47" s="221"/>
      <c r="AI47" s="216"/>
      <c r="AJ47" s="216"/>
      <c r="AK47" s="221"/>
      <c r="AL47" s="216"/>
      <c r="AM47" s="216"/>
      <c r="AN47" s="221"/>
    </row>
    <row r="48" customFormat="false" ht="16.5" hidden="false" customHeight="false" outlineLevel="0" collapsed="false">
      <c r="X48" s="216" t="n">
        <f aca="false">'Глубина-день'!A59</f>
        <v>40</v>
      </c>
      <c r="Y48" s="216" t="n">
        <f aca="false">'Глубина-день'!H59</f>
        <v>3286</v>
      </c>
      <c r="Z48" s="216" t="n">
        <f aca="false">'Глубина-день'!I59</f>
        <v>9</v>
      </c>
      <c r="AA48" s="219" t="n">
        <f aca="false">Z48/24+AA47</f>
        <v>11.3125</v>
      </c>
      <c r="AB48" s="216" t="n">
        <f aca="false">'Глубина-день'!K59</f>
        <v>3286</v>
      </c>
      <c r="AC48" s="216" t="n">
        <f aca="false">'Глубина-день'!L59</f>
        <v>9</v>
      </c>
      <c r="AD48" s="219" t="n">
        <f aca="false">AC48/24+AD47</f>
        <v>13.3125</v>
      </c>
      <c r="AE48" s="216" t="n">
        <f aca="false">'Глубина-день'!R59</f>
        <v>9</v>
      </c>
      <c r="AF48" s="219" t="n">
        <f aca="false">AE48/24+AF47</f>
        <v>11.3125</v>
      </c>
      <c r="AG48" s="216"/>
      <c r="AH48" s="221"/>
      <c r="AI48" s="216"/>
      <c r="AJ48" s="216"/>
      <c r="AK48" s="221"/>
      <c r="AL48" s="216"/>
      <c r="AM48" s="216"/>
      <c r="AN48" s="221"/>
    </row>
    <row r="49" customFormat="false" ht="16.5" hidden="false" customHeight="false" outlineLevel="0" collapsed="false">
      <c r="X49" s="216" t="n">
        <f aca="false">'Глубина-день'!A60</f>
        <v>41</v>
      </c>
      <c r="Y49" s="216" t="n">
        <f aca="false">'Глубина-день'!H60</f>
        <v>3286</v>
      </c>
      <c r="Z49" s="216" t="n">
        <f aca="false">'Глубина-день'!I60</f>
        <v>3.5</v>
      </c>
      <c r="AA49" s="219" t="n">
        <f aca="false">Z49/24+AA48</f>
        <v>11.4583333333333</v>
      </c>
      <c r="AB49" s="216" t="n">
        <f aca="false">'Глубина-день'!K60</f>
        <v>3286</v>
      </c>
      <c r="AC49" s="216" t="n">
        <f aca="false">'Глубина-день'!L60</f>
        <v>2.5</v>
      </c>
      <c r="AD49" s="219" t="n">
        <f aca="false">AC49/24+AD48</f>
        <v>13.4166666666667</v>
      </c>
      <c r="AE49" s="216" t="n">
        <f aca="false">'Глубина-день'!R60</f>
        <v>3.5</v>
      </c>
      <c r="AF49" s="219" t="n">
        <f aca="false">AE49/24+AF48</f>
        <v>11.4583333333333</v>
      </c>
      <c r="AG49" s="216"/>
      <c r="AH49" s="221"/>
      <c r="AI49" s="216"/>
      <c r="AJ49" s="216"/>
      <c r="AK49" s="221"/>
      <c r="AL49" s="216"/>
      <c r="AM49" s="216"/>
      <c r="AN49" s="221"/>
    </row>
    <row r="50" customFormat="false" ht="16.5" hidden="false" customHeight="false" outlineLevel="0" collapsed="false">
      <c r="X50" s="216" t="n">
        <f aca="false">'Глубина-день'!A61</f>
        <v>42</v>
      </c>
      <c r="Y50" s="216" t="n">
        <f aca="false">'Глубина-день'!H61</f>
        <v>3286</v>
      </c>
      <c r="Z50" s="216" t="n">
        <f aca="false">'Глубина-день'!I61</f>
        <v>1</v>
      </c>
      <c r="AA50" s="219" t="n">
        <f aca="false">Z50/24+AA49</f>
        <v>11.5</v>
      </c>
      <c r="AB50" s="216" t="n">
        <f aca="false">'Глубина-день'!K61</f>
        <v>3286</v>
      </c>
      <c r="AC50" s="216" t="n">
        <f aca="false">'Глубина-день'!L61</f>
        <v>1</v>
      </c>
      <c r="AD50" s="219" t="n">
        <f aca="false">AC50/24+AD49</f>
        <v>13.4583333333333</v>
      </c>
      <c r="AE50" s="216" t="n">
        <f aca="false">'Глубина-день'!R61</f>
        <v>1</v>
      </c>
      <c r="AF50" s="219" t="n">
        <f aca="false">AE50/24+AF49</f>
        <v>11.5</v>
      </c>
      <c r="AG50" s="216"/>
      <c r="AH50" s="221"/>
      <c r="AI50" s="216"/>
      <c r="AJ50" s="216"/>
      <c r="AK50" s="221"/>
      <c r="AL50" s="216"/>
      <c r="AM50" s="216"/>
      <c r="AN50" s="221"/>
    </row>
    <row r="51" customFormat="false" ht="16.5" hidden="false" customHeight="false" outlineLevel="0" collapsed="false">
      <c r="X51" s="216" t="n">
        <f aca="false">'Глубина-день'!A62</f>
        <v>43</v>
      </c>
      <c r="Y51" s="216" t="n">
        <f aca="false">'Глубина-день'!H62</f>
        <v>3286</v>
      </c>
      <c r="Z51" s="216" t="n">
        <f aca="false">'Глубина-день'!I62</f>
        <v>19</v>
      </c>
      <c r="AA51" s="219" t="n">
        <f aca="false">Z51/24+AA50</f>
        <v>12.2916666666667</v>
      </c>
      <c r="AB51" s="216" t="n">
        <f aca="false">'Глубина-день'!K62</f>
        <v>3286</v>
      </c>
      <c r="AC51" s="216" t="n">
        <f aca="false">'Глубина-день'!L62</f>
        <v>19</v>
      </c>
      <c r="AD51" s="219" t="n">
        <f aca="false">AC51/24+AD50</f>
        <v>14.25</v>
      </c>
      <c r="AE51" s="216" t="n">
        <f aca="false">'Глубина-день'!R62</f>
        <v>19</v>
      </c>
      <c r="AF51" s="219" t="n">
        <f aca="false">AE51/24+AF50</f>
        <v>12.2916666666667</v>
      </c>
      <c r="AG51" s="216"/>
      <c r="AH51" s="221"/>
      <c r="AI51" s="216"/>
      <c r="AJ51" s="216"/>
      <c r="AK51" s="221"/>
      <c r="AL51" s="216"/>
      <c r="AM51" s="216"/>
      <c r="AN51" s="221"/>
    </row>
    <row r="52" customFormat="false" ht="16.5" hidden="false" customHeight="false" outlineLevel="0" collapsed="false">
      <c r="X52" s="216" t="n">
        <f aca="false">'Глубина-день'!A63</f>
        <v>44</v>
      </c>
      <c r="Y52" s="216" t="n">
        <f aca="false">'Глубина-день'!H63</f>
        <v>3286</v>
      </c>
      <c r="Z52" s="216" t="n">
        <f aca="false">'Глубина-день'!I63</f>
        <v>3</v>
      </c>
      <c r="AA52" s="219" t="n">
        <f aca="false">Z52/24+AA51</f>
        <v>12.4166666666667</v>
      </c>
      <c r="AB52" s="216" t="n">
        <f aca="false">'Глубина-день'!K63</f>
        <v>3286</v>
      </c>
      <c r="AC52" s="216" t="n">
        <f aca="false">'Глубина-день'!L63</f>
        <v>3</v>
      </c>
      <c r="AD52" s="219" t="n">
        <f aca="false">AC52/24+AD51</f>
        <v>14.375</v>
      </c>
      <c r="AE52" s="216" t="n">
        <f aca="false">'Глубина-день'!R63</f>
        <v>3</v>
      </c>
      <c r="AF52" s="219" t="n">
        <f aca="false">AE52/24+AF51</f>
        <v>12.4166666666667</v>
      </c>
      <c r="AG52" s="216"/>
      <c r="AH52" s="221"/>
      <c r="AI52" s="216"/>
      <c r="AJ52" s="216"/>
      <c r="AK52" s="221"/>
      <c r="AL52" s="216"/>
      <c r="AM52" s="216"/>
      <c r="AN52" s="221"/>
    </row>
    <row r="53" customFormat="false" ht="16.5" hidden="false" customHeight="false" outlineLevel="0" collapsed="false">
      <c r="X53" s="216" t="n">
        <f aca="false">'Глубина-день'!A64</f>
        <v>45</v>
      </c>
      <c r="Y53" s="216" t="n">
        <f aca="false">'Глубина-день'!H64</f>
        <v>3286</v>
      </c>
      <c r="Z53" s="216" t="n">
        <f aca="false">'Глубина-день'!I64</f>
        <v>3</v>
      </c>
      <c r="AA53" s="219" t="n">
        <f aca="false">Z53/24+AA52</f>
        <v>12.5416666666667</v>
      </c>
      <c r="AB53" s="216" t="n">
        <f aca="false">'Глубина-день'!K64</f>
        <v>3286</v>
      </c>
      <c r="AC53" s="216" t="n">
        <f aca="false">'Глубина-день'!L64</f>
        <v>3</v>
      </c>
      <c r="AD53" s="219" t="n">
        <f aca="false">AC53/24+AD52</f>
        <v>14.5</v>
      </c>
      <c r="AE53" s="216" t="n">
        <f aca="false">'Глубина-день'!R64</f>
        <v>3</v>
      </c>
      <c r="AF53" s="219" t="n">
        <f aca="false">AE53/24+AF52</f>
        <v>12.5416666666667</v>
      </c>
      <c r="AG53" s="216"/>
      <c r="AH53" s="221"/>
      <c r="AI53" s="216"/>
      <c r="AJ53" s="216"/>
      <c r="AK53" s="221"/>
      <c r="AL53" s="216"/>
      <c r="AM53" s="216"/>
      <c r="AN53" s="221"/>
    </row>
    <row r="54" customFormat="false" ht="16.5" hidden="false" customHeight="false" outlineLevel="0" collapsed="false">
      <c r="X54" s="216" t="n">
        <f aca="false">'Глубина-день'!A65</f>
        <v>46</v>
      </c>
      <c r="Y54" s="216" t="n">
        <f aca="false">'Глубина-день'!H65</f>
        <v>3286</v>
      </c>
      <c r="Z54" s="216" t="n">
        <f aca="false">'Глубина-день'!I65</f>
        <v>26</v>
      </c>
      <c r="AA54" s="219" t="n">
        <f aca="false">Z54/24+AA53</f>
        <v>13.625</v>
      </c>
      <c r="AB54" s="216" t="n">
        <f aca="false">'Глубина-день'!K65</f>
        <v>3286</v>
      </c>
      <c r="AC54" s="216" t="n">
        <f aca="false">'Глубина-день'!L65</f>
        <v>32</v>
      </c>
      <c r="AD54" s="219" t="n">
        <f aca="false">AC54/24+AD53</f>
        <v>15.8333333333333</v>
      </c>
      <c r="AE54" s="216" t="n">
        <f aca="false">'Глубина-день'!R65</f>
        <v>26</v>
      </c>
      <c r="AF54" s="219" t="n">
        <f aca="false">AE54/24+AF53</f>
        <v>13.625</v>
      </c>
      <c r="AG54" s="216"/>
      <c r="AH54" s="221"/>
      <c r="AI54" s="216"/>
      <c r="AJ54" s="216"/>
      <c r="AK54" s="221"/>
      <c r="AL54" s="216"/>
      <c r="AM54" s="216"/>
      <c r="AN54" s="221"/>
    </row>
    <row r="55" customFormat="false" ht="16.5" hidden="false" customHeight="false" outlineLevel="0" collapsed="false">
      <c r="X55" s="216" t="n">
        <f aca="false">'Глубина-день'!A66</f>
        <v>47</v>
      </c>
      <c r="Y55" s="216" t="n">
        <f aca="false">'Глубина-день'!H66</f>
        <v>3286</v>
      </c>
      <c r="Z55" s="216" t="n">
        <f aca="false">'Глубина-день'!I66</f>
        <v>6</v>
      </c>
      <c r="AA55" s="219" t="n">
        <f aca="false">Z55/24+AA54</f>
        <v>13.875</v>
      </c>
      <c r="AB55" s="216" t="n">
        <f aca="false">'Глубина-день'!K66</f>
        <v>3286</v>
      </c>
      <c r="AC55" s="216" t="n">
        <f aca="false">'Глубина-день'!L66</f>
        <v>6</v>
      </c>
      <c r="AD55" s="219" t="n">
        <f aca="false">AC55/24+AD54</f>
        <v>16.0833333333333</v>
      </c>
      <c r="AE55" s="216" t="n">
        <f aca="false">'Глубина-день'!R66</f>
        <v>6</v>
      </c>
      <c r="AF55" s="219" t="n">
        <f aca="false">AE55/24+AF54</f>
        <v>13.875</v>
      </c>
      <c r="AG55" s="216"/>
      <c r="AH55" s="221"/>
      <c r="AI55" s="216"/>
      <c r="AJ55" s="216"/>
      <c r="AK55" s="221"/>
      <c r="AL55" s="216"/>
      <c r="AM55" s="216"/>
      <c r="AN55" s="221"/>
    </row>
    <row r="56" customFormat="false" ht="16.5" hidden="false" customHeight="false" outlineLevel="0" collapsed="false">
      <c r="X56" s="216" t="n">
        <f aca="false">'Глубина-день'!A67</f>
        <v>48</v>
      </c>
      <c r="Y56" s="216" t="n">
        <f aca="false">'Глубина-день'!H67</f>
        <v>3286</v>
      </c>
      <c r="Z56" s="216" t="n">
        <f aca="false">'Глубина-день'!I67</f>
        <v>12</v>
      </c>
      <c r="AA56" s="219" t="n">
        <f aca="false">Z56/24+AA55</f>
        <v>14.375</v>
      </c>
      <c r="AB56" s="216" t="n">
        <f aca="false">'Глубина-день'!K67</f>
        <v>3286</v>
      </c>
      <c r="AC56" s="216" t="n">
        <f aca="false">'Глубина-день'!L67</f>
        <v>15</v>
      </c>
      <c r="AD56" s="219" t="n">
        <f aca="false">AC56/24+AD55</f>
        <v>16.7083333333333</v>
      </c>
      <c r="AE56" s="216" t="n">
        <f aca="false">'Глубина-день'!R67</f>
        <v>12</v>
      </c>
      <c r="AF56" s="219" t="n">
        <f aca="false">AE56/24+AF55</f>
        <v>14.375</v>
      </c>
      <c r="AG56" s="216"/>
      <c r="AH56" s="221"/>
      <c r="AI56" s="216"/>
      <c r="AJ56" s="216"/>
      <c r="AK56" s="221"/>
      <c r="AL56" s="216"/>
      <c r="AM56" s="216"/>
      <c r="AN56" s="221"/>
    </row>
    <row r="57" customFormat="false" ht="16.5" hidden="false" customHeight="false" outlineLevel="0" collapsed="false">
      <c r="X57" s="216" t="n">
        <f aca="false">'Глубина-день'!A68</f>
        <v>49</v>
      </c>
      <c r="Y57" s="216" t="n">
        <f aca="false">'Глубина-день'!H68</f>
        <v>3286</v>
      </c>
      <c r="Z57" s="216" t="n">
        <f aca="false">'Глубина-день'!I68</f>
        <v>6</v>
      </c>
      <c r="AA57" s="219" t="n">
        <f aca="false">Z57/24+AA56</f>
        <v>14.625</v>
      </c>
      <c r="AB57" s="216" t="n">
        <f aca="false">'Глубина-день'!K68</f>
        <v>3286</v>
      </c>
      <c r="AC57" s="216" t="n">
        <f aca="false">'Глубина-день'!L68</f>
        <v>0</v>
      </c>
      <c r="AD57" s="219" t="n">
        <f aca="false">AC57/24+AD56</f>
        <v>16.7083333333333</v>
      </c>
      <c r="AE57" s="216" t="n">
        <f aca="false">'Глубина-день'!R68</f>
        <v>6</v>
      </c>
      <c r="AF57" s="219" t="n">
        <f aca="false">AE57/24+AF56</f>
        <v>14.625</v>
      </c>
      <c r="AG57" s="216"/>
      <c r="AH57" s="221"/>
      <c r="AI57" s="216"/>
      <c r="AJ57" s="216"/>
      <c r="AK57" s="221"/>
      <c r="AL57" s="216"/>
      <c r="AM57" s="216"/>
      <c r="AN57" s="221"/>
    </row>
    <row r="58" customFormat="false" ht="16.5" hidden="false" customHeight="false" outlineLevel="0" collapsed="false">
      <c r="X58" s="216" t="n">
        <f aca="false">'Глубина-день'!A69</f>
        <v>50</v>
      </c>
      <c r="Y58" s="216" t="n">
        <f aca="false">'Глубина-день'!H69</f>
        <v>3286</v>
      </c>
      <c r="Z58" s="216" t="n">
        <f aca="false">'Глубина-день'!I69</f>
        <v>1</v>
      </c>
      <c r="AA58" s="219" t="n">
        <f aca="false">Z58/24+AA57</f>
        <v>14.6666666666667</v>
      </c>
      <c r="AB58" s="216" t="n">
        <f aca="false">'Глубина-день'!K69</f>
        <v>3286</v>
      </c>
      <c r="AC58" s="216" t="n">
        <f aca="false">'Глубина-день'!L69</f>
        <v>1</v>
      </c>
      <c r="AD58" s="219" t="n">
        <f aca="false">AC58/24+AD57</f>
        <v>16.75</v>
      </c>
      <c r="AE58" s="216" t="n">
        <f aca="false">'Глубина-день'!R69</f>
        <v>1</v>
      </c>
      <c r="AF58" s="219" t="n">
        <f aca="false">AE58/24+AF57</f>
        <v>14.6666666666667</v>
      </c>
      <c r="AG58" s="216"/>
      <c r="AH58" s="221"/>
      <c r="AI58" s="216"/>
      <c r="AJ58" s="216"/>
      <c r="AK58" s="221"/>
      <c r="AL58" s="216"/>
      <c r="AM58" s="216"/>
      <c r="AN58" s="221"/>
    </row>
    <row r="59" customFormat="false" ht="16.5" hidden="false" customHeight="false" outlineLevel="0" collapsed="false">
      <c r="X59" s="216" t="n">
        <f aca="false">'Глубина-день'!A70</f>
        <v>51</v>
      </c>
      <c r="Y59" s="216" t="n">
        <f aca="false">'Глубина-день'!H70</f>
        <v>3286</v>
      </c>
      <c r="Z59" s="216" t="n">
        <f aca="false">'Глубина-день'!I70</f>
        <v>4</v>
      </c>
      <c r="AA59" s="219" t="n">
        <f aca="false">Z59/24+AA58</f>
        <v>14.8333333333333</v>
      </c>
      <c r="AB59" s="216" t="n">
        <f aca="false">'Глубина-день'!K70</f>
        <v>3286</v>
      </c>
      <c r="AC59" s="216" t="n">
        <f aca="false">'Глубина-день'!L70</f>
        <v>4</v>
      </c>
      <c r="AD59" s="219" t="n">
        <f aca="false">AC59/24+AD58</f>
        <v>16.9166666666667</v>
      </c>
      <c r="AE59" s="216" t="n">
        <f aca="false">'Глубина-день'!R70</f>
        <v>4</v>
      </c>
      <c r="AF59" s="219" t="n">
        <f aca="false">AE59/24+AF58</f>
        <v>14.8333333333333</v>
      </c>
      <c r="AG59" s="216"/>
      <c r="AH59" s="221"/>
      <c r="AI59" s="216"/>
      <c r="AJ59" s="216"/>
      <c r="AK59" s="221"/>
      <c r="AL59" s="216"/>
      <c r="AM59" s="216"/>
      <c r="AN59" s="221"/>
    </row>
    <row r="60" customFormat="false" ht="16.5" hidden="false" customHeight="false" outlineLevel="0" collapsed="false">
      <c r="X60" s="216" t="n">
        <f aca="false">'Глубина-день'!A71</f>
        <v>52</v>
      </c>
      <c r="Y60" s="216" t="n">
        <f aca="false">'Глубина-день'!H71</f>
        <v>3286</v>
      </c>
      <c r="Z60" s="216" t="n">
        <f aca="false">'Глубина-день'!I71</f>
        <v>17</v>
      </c>
      <c r="AA60" s="219" t="n">
        <f aca="false">Z60/24+AA59</f>
        <v>15.5416666666667</v>
      </c>
      <c r="AB60" s="216" t="n">
        <f aca="false">'Глубина-день'!K71</f>
        <v>3286</v>
      </c>
      <c r="AC60" s="216" t="n">
        <f aca="false">'Глубина-день'!L71</f>
        <v>17.5</v>
      </c>
      <c r="AD60" s="219" t="n">
        <f aca="false">AC60/24+AD59</f>
        <v>17.6458333333333</v>
      </c>
      <c r="AE60" s="216" t="n">
        <f aca="false">'Глубина-день'!R71</f>
        <v>17</v>
      </c>
      <c r="AF60" s="219" t="n">
        <f aca="false">AE60/24+AF59</f>
        <v>15.5416666666667</v>
      </c>
      <c r="AG60" s="216"/>
      <c r="AH60" s="221"/>
      <c r="AI60" s="216"/>
      <c r="AJ60" s="216"/>
      <c r="AK60" s="221"/>
      <c r="AL60" s="216"/>
      <c r="AM60" s="216"/>
      <c r="AN60" s="221"/>
    </row>
    <row r="61" customFormat="false" ht="16.5" hidden="false" customHeight="false" outlineLevel="0" collapsed="false">
      <c r="X61" s="216" t="n">
        <f aca="false">'Глубина-день'!A72</f>
        <v>53</v>
      </c>
      <c r="Y61" s="216" t="n">
        <f aca="false">'Глубина-день'!H72</f>
        <v>3286</v>
      </c>
      <c r="Z61" s="216" t="n">
        <f aca="false">'Глубина-день'!I72</f>
        <v>3</v>
      </c>
      <c r="AA61" s="219" t="n">
        <f aca="false">Z61/24+AA60</f>
        <v>15.6666666666667</v>
      </c>
      <c r="AB61" s="216" t="n">
        <f aca="false">'Глубина-день'!K72</f>
        <v>3286</v>
      </c>
      <c r="AC61" s="216" t="n">
        <f aca="false">'Глубина-день'!L72</f>
        <v>2</v>
      </c>
      <c r="AD61" s="219" t="n">
        <f aca="false">AC61/24+AD60</f>
        <v>17.7291666666667</v>
      </c>
      <c r="AE61" s="216" t="n">
        <f aca="false">'Глубина-день'!R72</f>
        <v>3</v>
      </c>
      <c r="AF61" s="219" t="n">
        <f aca="false">AE61/24+AF60</f>
        <v>15.6666666666667</v>
      </c>
      <c r="AG61" s="216"/>
      <c r="AH61" s="221"/>
      <c r="AI61" s="216"/>
      <c r="AJ61" s="216"/>
      <c r="AK61" s="221"/>
      <c r="AL61" s="216"/>
      <c r="AM61" s="216"/>
      <c r="AN61" s="221"/>
    </row>
    <row r="62" customFormat="false" ht="16.5" hidden="false" customHeight="false" outlineLevel="0" collapsed="false">
      <c r="X62" s="216" t="n">
        <f aca="false">'Глубина-день'!A73</f>
        <v>54</v>
      </c>
      <c r="Y62" s="216" t="n">
        <f aca="false">'Глубина-день'!H73</f>
        <v>3286</v>
      </c>
      <c r="Z62" s="216" t="n">
        <f aca="false">'Глубина-день'!I73</f>
        <v>4</v>
      </c>
      <c r="AA62" s="219" t="n">
        <f aca="false">Z62/24+AA61</f>
        <v>15.8333333333333</v>
      </c>
      <c r="AB62" s="216" t="n">
        <f aca="false">'Глубина-день'!K73</f>
        <v>3286</v>
      </c>
      <c r="AC62" s="216" t="n">
        <f aca="false">'Глубина-день'!L73</f>
        <v>2</v>
      </c>
      <c r="AD62" s="219" t="n">
        <f aca="false">AC62/24+AD61</f>
        <v>17.8125</v>
      </c>
      <c r="AE62" s="216" t="n">
        <f aca="false">'Глубина-день'!R73</f>
        <v>4</v>
      </c>
      <c r="AF62" s="219" t="n">
        <f aca="false">AE62/24+AF61</f>
        <v>15.8333333333333</v>
      </c>
      <c r="AG62" s="216"/>
      <c r="AH62" s="221"/>
      <c r="AI62" s="216"/>
      <c r="AJ62" s="216"/>
      <c r="AK62" s="221"/>
      <c r="AL62" s="216"/>
      <c r="AM62" s="216"/>
      <c r="AN62" s="221"/>
    </row>
    <row r="63" customFormat="false" ht="16.5" hidden="false" customHeight="false" outlineLevel="0" collapsed="false">
      <c r="X63" s="216" t="n">
        <f aca="false">'Глубина-день'!A74</f>
        <v>55</v>
      </c>
      <c r="Y63" s="216" t="n">
        <f aca="false">'Глубина-день'!H74</f>
        <v>4449</v>
      </c>
      <c r="Z63" s="216" t="n">
        <f aca="false">'Глубина-день'!I74</f>
        <v>105</v>
      </c>
      <c r="AA63" s="219" t="n">
        <f aca="false">Z63/24+AA62</f>
        <v>20.2083333333333</v>
      </c>
      <c r="AB63" s="216" t="n">
        <f aca="false">'Глубина-день'!K74</f>
        <v>4212</v>
      </c>
      <c r="AC63" s="216" t="n">
        <f aca="false">'Глубина-день'!L74</f>
        <v>95.5</v>
      </c>
      <c r="AD63" s="219" t="n">
        <f aca="false">AC63/24+AD62</f>
        <v>21.7916666666667</v>
      </c>
      <c r="AE63" s="216" t="n">
        <f aca="false">'Глубина-день'!R74</f>
        <v>105</v>
      </c>
      <c r="AF63" s="219" t="n">
        <f aca="false">AE63/24+AF62</f>
        <v>20.2083333333333</v>
      </c>
      <c r="AG63" s="216"/>
      <c r="AH63" s="221"/>
      <c r="AI63" s="216"/>
      <c r="AJ63" s="216"/>
      <c r="AK63" s="221"/>
      <c r="AL63" s="216"/>
      <c r="AM63" s="216"/>
      <c r="AN63" s="221"/>
    </row>
    <row r="64" customFormat="false" ht="16.5" hidden="false" customHeight="false" outlineLevel="0" collapsed="false">
      <c r="X64" s="216" t="n">
        <f aca="false">'Глубина-день'!A75</f>
        <v>56</v>
      </c>
      <c r="Y64" s="216" t="n">
        <f aca="false">'Глубина-день'!H75</f>
        <v>4449</v>
      </c>
      <c r="Z64" s="216" t="n">
        <f aca="false">'Глубина-день'!I75</f>
        <v>3</v>
      </c>
      <c r="AA64" s="219" t="n">
        <f aca="false">Z64/24+AA63</f>
        <v>20.3333333333333</v>
      </c>
      <c r="AB64" s="216" t="n">
        <f aca="false">'Глубина-день'!K75</f>
        <v>0</v>
      </c>
      <c r="AC64" s="216" t="n">
        <f aca="false">'Глубина-день'!L75</f>
        <v>0</v>
      </c>
      <c r="AD64" s="219" t="n">
        <f aca="false">AC64/24+AD63</f>
        <v>21.7916666666667</v>
      </c>
      <c r="AE64" s="216" t="n">
        <f aca="false">'Глубина-день'!R75</f>
        <v>3</v>
      </c>
      <c r="AF64" s="219" t="n">
        <f aca="false">AE64/24+AF63</f>
        <v>20.3333333333333</v>
      </c>
      <c r="AG64" s="216"/>
      <c r="AH64" s="221"/>
      <c r="AI64" s="216"/>
      <c r="AJ64" s="216"/>
      <c r="AK64" s="221"/>
      <c r="AL64" s="216"/>
      <c r="AM64" s="216"/>
      <c r="AN64" s="221"/>
    </row>
    <row r="65" customFormat="false" ht="16.5" hidden="false" customHeight="false" outlineLevel="0" collapsed="false">
      <c r="X65" s="216" t="n">
        <f aca="false">'Глубина-день'!A76</f>
        <v>57</v>
      </c>
      <c r="Y65" s="216" t="n">
        <f aca="false">'Глубина-день'!H76</f>
        <v>4449</v>
      </c>
      <c r="Z65" s="216" t="n">
        <f aca="false">'Глубина-день'!I76</f>
        <v>9</v>
      </c>
      <c r="AA65" s="219" t="n">
        <f aca="false">Z65/24+AA64</f>
        <v>20.7083333333333</v>
      </c>
      <c r="AB65" s="216" t="n">
        <f aca="false">'Глубина-день'!K76</f>
        <v>0</v>
      </c>
      <c r="AC65" s="216" t="n">
        <f aca="false">'Глубина-день'!L76</f>
        <v>0</v>
      </c>
      <c r="AD65" s="219" t="n">
        <f aca="false">AC65/24+AD64</f>
        <v>21.7916666666667</v>
      </c>
      <c r="AE65" s="216" t="n">
        <f aca="false">'Глубина-день'!R76</f>
        <v>9</v>
      </c>
      <c r="AF65" s="219" t="n">
        <f aca="false">AE65/24+AF64</f>
        <v>20.7083333333333</v>
      </c>
      <c r="AG65" s="216"/>
      <c r="AH65" s="221"/>
      <c r="AI65" s="216"/>
      <c r="AJ65" s="216"/>
      <c r="AK65" s="221"/>
      <c r="AL65" s="216"/>
      <c r="AM65" s="216"/>
      <c r="AN65" s="221"/>
    </row>
    <row r="66" customFormat="false" ht="16.5" hidden="false" customHeight="false" outlineLevel="0" collapsed="false">
      <c r="X66" s="216" t="n">
        <f aca="false">'Глубина-день'!A77</f>
        <v>58</v>
      </c>
      <c r="Y66" s="216" t="n">
        <f aca="false">'Глубина-день'!H77</f>
        <v>4449</v>
      </c>
      <c r="Z66" s="216" t="n">
        <f aca="false">'Глубина-день'!I77</f>
        <v>30</v>
      </c>
      <c r="AA66" s="219" t="n">
        <f aca="false">Z66/24+AA65</f>
        <v>21.9583333333333</v>
      </c>
      <c r="AB66" s="216" t="n">
        <f aca="false">'Глубина-день'!K77</f>
        <v>0</v>
      </c>
      <c r="AC66" s="216" t="n">
        <f aca="false">'Глубина-день'!L77</f>
        <v>0</v>
      </c>
      <c r="AD66" s="219" t="n">
        <f aca="false">AC66/24+AD65</f>
        <v>21.7916666666667</v>
      </c>
      <c r="AE66" s="216" t="n">
        <f aca="false">'Глубина-день'!R77</f>
        <v>30</v>
      </c>
      <c r="AF66" s="219" t="n">
        <f aca="false">AE66/24+AF65</f>
        <v>21.9583333333333</v>
      </c>
      <c r="AG66" s="216"/>
      <c r="AH66" s="221"/>
      <c r="AI66" s="216"/>
      <c r="AJ66" s="216"/>
      <c r="AK66" s="221"/>
      <c r="AL66" s="216"/>
      <c r="AM66" s="216"/>
      <c r="AN66" s="221"/>
    </row>
    <row r="67" customFormat="false" ht="16.5" hidden="false" customHeight="false" outlineLevel="0" collapsed="false">
      <c r="X67" s="216" t="n">
        <f aca="false">'Глубина-день'!A78</f>
        <v>59</v>
      </c>
      <c r="Y67" s="216" t="n">
        <f aca="false">'Глубина-день'!H78</f>
        <v>4449</v>
      </c>
      <c r="Z67" s="216" t="n">
        <f aca="false">'Глубина-день'!I78</f>
        <v>3.5</v>
      </c>
      <c r="AA67" s="219" t="n">
        <f aca="false">Z67/24+AA66</f>
        <v>22.1041666666667</v>
      </c>
      <c r="AB67" s="216" t="n">
        <f aca="false">'Глубина-день'!K78</f>
        <v>0</v>
      </c>
      <c r="AC67" s="216" t="n">
        <f aca="false">'Глубина-день'!L78</f>
        <v>0</v>
      </c>
      <c r="AD67" s="219" t="n">
        <f aca="false">AC67/24+AD66</f>
        <v>21.7916666666667</v>
      </c>
      <c r="AE67" s="216" t="n">
        <f aca="false">'Глубина-день'!R78</f>
        <v>3.5</v>
      </c>
      <c r="AF67" s="219" t="n">
        <f aca="false">AE67/24+AF66</f>
        <v>22.1041666666667</v>
      </c>
      <c r="AG67" s="216"/>
      <c r="AH67" s="221"/>
      <c r="AI67" s="216"/>
      <c r="AJ67" s="216"/>
      <c r="AK67" s="221"/>
      <c r="AL67" s="216"/>
      <c r="AM67" s="216"/>
      <c r="AN67" s="221"/>
    </row>
    <row r="68" customFormat="false" ht="16.5" hidden="false" customHeight="false" outlineLevel="0" collapsed="false">
      <c r="X68" s="216" t="n">
        <f aca="false">'Глубина-день'!A79</f>
        <v>60</v>
      </c>
      <c r="Y68" s="216" t="n">
        <f aca="false">'Глубина-день'!H79</f>
        <v>4449</v>
      </c>
      <c r="Z68" s="216" t="n">
        <f aca="false">'Глубина-день'!I79</f>
        <v>15</v>
      </c>
      <c r="AA68" s="219" t="n">
        <f aca="false">Z68/24+AA67</f>
        <v>22.7291666666667</v>
      </c>
      <c r="AB68" s="216" t="n">
        <f aca="false">'Глубина-день'!K79</f>
        <v>0</v>
      </c>
      <c r="AC68" s="216" t="n">
        <f aca="false">'Глубина-день'!L79</f>
        <v>0</v>
      </c>
      <c r="AD68" s="219" t="n">
        <f aca="false">AC68/24+AD67</f>
        <v>21.7916666666667</v>
      </c>
      <c r="AE68" s="216" t="n">
        <f aca="false">'Глубина-день'!R79</f>
        <v>15</v>
      </c>
      <c r="AF68" s="219" t="n">
        <f aca="false">AE68/24+AF67</f>
        <v>22.7291666666667</v>
      </c>
      <c r="AG68" s="216"/>
      <c r="AH68" s="221"/>
      <c r="AI68" s="216"/>
      <c r="AJ68" s="216"/>
      <c r="AK68" s="221"/>
      <c r="AL68" s="216"/>
      <c r="AM68" s="216"/>
      <c r="AN68" s="221"/>
    </row>
    <row r="69" customFormat="false" ht="16.5" hidden="false" customHeight="false" outlineLevel="0" collapsed="false">
      <c r="X69" s="216" t="n">
        <f aca="false">'Глубина-день'!A80</f>
        <v>61</v>
      </c>
      <c r="Y69" s="216" t="n">
        <f aca="false">'Глубина-день'!H80</f>
        <v>4449</v>
      </c>
      <c r="Z69" s="216" t="n">
        <f aca="false">'Глубина-день'!I80</f>
        <v>2</v>
      </c>
      <c r="AA69" s="219" t="n">
        <f aca="false">Z69/24+AA68</f>
        <v>22.8125</v>
      </c>
      <c r="AB69" s="216" t="n">
        <f aca="false">'Глубина-день'!K80</f>
        <v>0</v>
      </c>
      <c r="AC69" s="216" t="n">
        <f aca="false">'Глубина-день'!L80</f>
        <v>0</v>
      </c>
      <c r="AD69" s="219" t="n">
        <f aca="false">AC69/24+AD68</f>
        <v>21.7916666666667</v>
      </c>
      <c r="AE69" s="216" t="n">
        <f aca="false">'Глубина-день'!R80</f>
        <v>2</v>
      </c>
      <c r="AF69" s="219" t="n">
        <f aca="false">AE69/24+AF68</f>
        <v>22.8125</v>
      </c>
      <c r="AG69" s="216"/>
      <c r="AH69" s="221"/>
      <c r="AI69" s="216"/>
      <c r="AJ69" s="216"/>
      <c r="AK69" s="221"/>
      <c r="AL69" s="216"/>
      <c r="AM69" s="216"/>
      <c r="AN69" s="221"/>
    </row>
    <row r="70" customFormat="false" ht="16.5" hidden="false" customHeight="false" outlineLevel="0" collapsed="false">
      <c r="X70" s="216" t="n">
        <f aca="false">'Глубина-день'!A81</f>
        <v>62</v>
      </c>
      <c r="Y70" s="216" t="n">
        <f aca="false">'Глубина-день'!H81</f>
        <v>4449</v>
      </c>
      <c r="Z70" s="216" t="n">
        <f aca="false">'Глубина-день'!I81</f>
        <v>1</v>
      </c>
      <c r="AA70" s="219" t="n">
        <f aca="false">Z70/24+AA69</f>
        <v>22.8541666666667</v>
      </c>
      <c r="AB70" s="216" t="n">
        <f aca="false">'Глубина-день'!K81</f>
        <v>0</v>
      </c>
      <c r="AC70" s="216" t="n">
        <f aca="false">'Глубина-день'!L81</f>
        <v>0</v>
      </c>
      <c r="AD70" s="219" t="n">
        <f aca="false">AC70/24+AD69</f>
        <v>21.7916666666667</v>
      </c>
      <c r="AE70" s="216" t="n">
        <f aca="false">'Глубина-день'!R81</f>
        <v>1</v>
      </c>
      <c r="AF70" s="219" t="n">
        <f aca="false">AE70/24+AF69</f>
        <v>22.8541666666667</v>
      </c>
      <c r="AG70" s="216"/>
      <c r="AH70" s="221"/>
      <c r="AI70" s="216"/>
      <c r="AJ70" s="216"/>
      <c r="AK70" s="221"/>
      <c r="AL70" s="216"/>
      <c r="AM70" s="216"/>
      <c r="AN70" s="221"/>
    </row>
    <row r="71" customFormat="false" ht="16.5" hidden="false" customHeight="false" outlineLevel="0" collapsed="false">
      <c r="X71" s="216" t="n">
        <f aca="false">'Глубина-день'!A82</f>
        <v>63</v>
      </c>
      <c r="Y71" s="216" t="n">
        <f aca="false">'Глубина-день'!H82</f>
        <v>4449</v>
      </c>
      <c r="Z71" s="216" t="n">
        <f aca="false">'Глубина-день'!I82</f>
        <v>10.5</v>
      </c>
      <c r="AA71" s="219" t="n">
        <f aca="false">Z71/24+AA70</f>
        <v>23.2916666666667</v>
      </c>
      <c r="AB71" s="216" t="n">
        <f aca="false">'Глубина-день'!K82</f>
        <v>0</v>
      </c>
      <c r="AC71" s="216" t="n">
        <f aca="false">'Глубина-день'!L82</f>
        <v>0</v>
      </c>
      <c r="AD71" s="219" t="n">
        <f aca="false">AC71/24+AD70</f>
        <v>21.7916666666667</v>
      </c>
      <c r="AE71" s="216" t="n">
        <f aca="false">'Глубина-день'!R82</f>
        <v>10.5</v>
      </c>
      <c r="AF71" s="219" t="n">
        <f aca="false">AE71/24+AF70</f>
        <v>23.2916666666667</v>
      </c>
      <c r="AG71" s="216"/>
      <c r="AH71" s="221"/>
      <c r="AI71" s="216"/>
      <c r="AJ71" s="216"/>
      <c r="AK71" s="221"/>
      <c r="AL71" s="216"/>
      <c r="AM71" s="216"/>
      <c r="AN71" s="221"/>
    </row>
    <row r="72" customFormat="false" ht="16.5" hidden="false" customHeight="false" outlineLevel="0" collapsed="false">
      <c r="X72" s="216" t="n">
        <f aca="false">'Глубина-день'!A83</f>
        <v>64</v>
      </c>
      <c r="Y72" s="216" t="n">
        <f aca="false">'Глубина-день'!H83</f>
        <v>4449</v>
      </c>
      <c r="Z72" s="216" t="n">
        <f aca="false">'Глубина-день'!I83</f>
        <v>13</v>
      </c>
      <c r="AA72" s="219" t="n">
        <f aca="false">Z72/24+AA71</f>
        <v>23.8333333333333</v>
      </c>
      <c r="AB72" s="216" t="n">
        <f aca="false">'Глубина-день'!K83</f>
        <v>0</v>
      </c>
      <c r="AC72" s="216" t="n">
        <f aca="false">'Глубина-день'!L83</f>
        <v>0</v>
      </c>
      <c r="AD72" s="219" t="n">
        <f aca="false">AC72/24+AD71</f>
        <v>21.7916666666667</v>
      </c>
      <c r="AE72" s="216" t="n">
        <f aca="false">'Глубина-день'!R83</f>
        <v>13</v>
      </c>
      <c r="AF72" s="219" t="n">
        <f aca="false">AE72/24+AF71</f>
        <v>23.8333333333333</v>
      </c>
      <c r="AG72" s="216"/>
      <c r="AH72" s="221"/>
      <c r="AI72" s="216"/>
      <c r="AJ72" s="216"/>
      <c r="AK72" s="221"/>
      <c r="AL72" s="216"/>
      <c r="AM72" s="216"/>
      <c r="AN72" s="221"/>
    </row>
    <row r="73" customFormat="false" ht="16.5" hidden="false" customHeight="false" outlineLevel="0" collapsed="false">
      <c r="X73" s="216" t="n">
        <f aca="false">'Глубина-день'!A84</f>
        <v>65</v>
      </c>
      <c r="Y73" s="216" t="n">
        <f aca="false">'Глубина-день'!H84</f>
        <v>4449</v>
      </c>
      <c r="Z73" s="216" t="n">
        <f aca="false">'Глубина-день'!I84</f>
        <v>4</v>
      </c>
      <c r="AA73" s="219" t="n">
        <f aca="false">Z73/24+AA72</f>
        <v>24</v>
      </c>
      <c r="AB73" s="216" t="n">
        <f aca="false">'Глубина-день'!K84</f>
        <v>0</v>
      </c>
      <c r="AC73" s="216" t="n">
        <f aca="false">'Глубина-день'!L84</f>
        <v>0</v>
      </c>
      <c r="AD73" s="219" t="n">
        <f aca="false">AC73/24+AD72</f>
        <v>21.7916666666667</v>
      </c>
      <c r="AE73" s="216" t="n">
        <f aca="false">'Глубина-день'!R84</f>
        <v>4</v>
      </c>
      <c r="AF73" s="219" t="n">
        <f aca="false">AE73/24+AF72</f>
        <v>24</v>
      </c>
      <c r="AG73" s="216"/>
      <c r="AH73" s="221"/>
      <c r="AI73" s="216"/>
      <c r="AJ73" s="216"/>
      <c r="AK73" s="221"/>
      <c r="AL73" s="216"/>
      <c r="AM73" s="216"/>
      <c r="AN73" s="221"/>
    </row>
    <row r="74" customFormat="false" ht="16.5" hidden="false" customHeight="false" outlineLevel="0" collapsed="false">
      <c r="X74" s="216" t="n">
        <f aca="false">'Глубина-день'!A85</f>
        <v>66</v>
      </c>
      <c r="Y74" s="216" t="n">
        <f aca="false">'Глубина-день'!H85</f>
        <v>4449</v>
      </c>
      <c r="Z74" s="216" t="n">
        <f aca="false">'Глубина-день'!I85</f>
        <v>6</v>
      </c>
      <c r="AA74" s="219" t="n">
        <f aca="false">Z74/24+AA73</f>
        <v>24.25</v>
      </c>
      <c r="AB74" s="216" t="n">
        <f aca="false">'Глубина-день'!K85</f>
        <v>0</v>
      </c>
      <c r="AC74" s="216" t="n">
        <f aca="false">'Глубина-день'!L85</f>
        <v>0</v>
      </c>
      <c r="AD74" s="219" t="n">
        <f aca="false">AC74/24+AD73</f>
        <v>21.7916666666667</v>
      </c>
      <c r="AE74" s="216" t="n">
        <f aca="false">'Глубина-день'!R85</f>
        <v>6</v>
      </c>
      <c r="AF74" s="219" t="n">
        <f aca="false">AE74/24+AF73</f>
        <v>24.25</v>
      </c>
      <c r="AG74" s="216"/>
      <c r="AH74" s="221"/>
      <c r="AI74" s="216"/>
      <c r="AJ74" s="216"/>
      <c r="AK74" s="221"/>
      <c r="AL74" s="216"/>
      <c r="AM74" s="216"/>
      <c r="AN74" s="221"/>
    </row>
    <row r="75" customFormat="false" ht="16.5" hidden="false" customHeight="false" outlineLevel="0" collapsed="false">
      <c r="X75" s="216" t="n">
        <f aca="false">'Глубина-день'!A86</f>
        <v>67</v>
      </c>
      <c r="Y75" s="216" t="n">
        <f aca="false">'Глубина-день'!H86</f>
        <v>4449</v>
      </c>
      <c r="Z75" s="216" t="n">
        <f aca="false">'Глубина-день'!I86</f>
        <v>25</v>
      </c>
      <c r="AA75" s="219" t="n">
        <f aca="false">Z75/24+AA74</f>
        <v>25.2916666666667</v>
      </c>
      <c r="AB75" s="216" t="n">
        <f aca="false">'Глубина-день'!K86</f>
        <v>0</v>
      </c>
      <c r="AC75" s="216" t="n">
        <f aca="false">'Глубина-день'!L86</f>
        <v>0</v>
      </c>
      <c r="AD75" s="219" t="n">
        <f aca="false">AC75/24+AD74</f>
        <v>21.7916666666667</v>
      </c>
      <c r="AE75" s="216" t="n">
        <f aca="false">'Глубина-день'!R86</f>
        <v>25</v>
      </c>
      <c r="AF75" s="219" t="n">
        <f aca="false">AE75/24+AF74</f>
        <v>25.2916666666667</v>
      </c>
      <c r="AG75" s="216"/>
      <c r="AH75" s="221"/>
      <c r="AI75" s="216"/>
      <c r="AJ75" s="216"/>
      <c r="AK75" s="221"/>
      <c r="AL75" s="216"/>
      <c r="AM75" s="216"/>
      <c r="AN75" s="221"/>
    </row>
    <row r="76" customFormat="false" ht="16.5" hidden="false" customHeight="false" outlineLevel="0" collapsed="false">
      <c r="X76" s="216" t="n">
        <f aca="false">'Глубина-день'!A87</f>
        <v>68</v>
      </c>
      <c r="Y76" s="216" t="n">
        <f aca="false">'Глубина-день'!H87</f>
        <v>4449</v>
      </c>
      <c r="Z76" s="216" t="n">
        <f aca="false">'Глубина-день'!I87</f>
        <v>4</v>
      </c>
      <c r="AA76" s="219" t="n">
        <f aca="false">Z76/24+AA75</f>
        <v>25.4583333333333</v>
      </c>
      <c r="AB76" s="216" t="n">
        <f aca="false">'Глубина-день'!K87</f>
        <v>0</v>
      </c>
      <c r="AC76" s="216" t="n">
        <f aca="false">'Глубина-день'!L87</f>
        <v>0</v>
      </c>
      <c r="AD76" s="219" t="n">
        <f aca="false">AC76/24+AD75</f>
        <v>21.7916666666667</v>
      </c>
      <c r="AE76" s="216" t="n">
        <f aca="false">'Глубина-день'!R87</f>
        <v>4</v>
      </c>
      <c r="AF76" s="219" t="n">
        <f aca="false">AE76/24+AF75</f>
        <v>25.4583333333333</v>
      </c>
      <c r="AG76" s="216"/>
      <c r="AH76" s="221"/>
      <c r="AI76" s="216"/>
      <c r="AJ76" s="216"/>
      <c r="AK76" s="221"/>
      <c r="AL76" s="216"/>
      <c r="AM76" s="216"/>
      <c r="AN76" s="221"/>
    </row>
    <row r="77" customFormat="false" ht="16.5" hidden="false" customHeight="false" outlineLevel="0" collapsed="false">
      <c r="X77" s="216" t="n">
        <f aca="false">'Глубина-день'!A88</f>
        <v>69</v>
      </c>
      <c r="Y77" s="216" t="n">
        <f aca="false">'Глубина-день'!H88</f>
        <v>4449</v>
      </c>
      <c r="Z77" s="216" t="n">
        <f aca="false">'Глубина-день'!I88</f>
        <v>3</v>
      </c>
      <c r="AA77" s="219" t="n">
        <f aca="false">Z77/24+AA76</f>
        <v>25.5833333333333</v>
      </c>
      <c r="AB77" s="216" t="n">
        <f aca="false">'Глубина-день'!K88</f>
        <v>0</v>
      </c>
      <c r="AC77" s="216" t="n">
        <f aca="false">'Глубина-день'!L88</f>
        <v>0</v>
      </c>
      <c r="AD77" s="219" t="n">
        <f aca="false">AC77/24+AD76</f>
        <v>21.7916666666667</v>
      </c>
      <c r="AE77" s="216" t="n">
        <f aca="false">'Глубина-день'!R88</f>
        <v>3</v>
      </c>
      <c r="AF77" s="219" t="n">
        <f aca="false">AE77/24+AF76</f>
        <v>25.5833333333333</v>
      </c>
      <c r="AG77" s="216"/>
      <c r="AH77" s="221"/>
      <c r="AI77" s="216"/>
      <c r="AJ77" s="216"/>
      <c r="AK77" s="221"/>
      <c r="AL77" s="216"/>
      <c r="AM77" s="216"/>
      <c r="AN77" s="221"/>
    </row>
    <row r="78" customFormat="false" ht="16.5" hidden="false" customHeight="false" outlineLevel="0" collapsed="false">
      <c r="X78" s="216" t="n">
        <f aca="false">'Глубина-день'!A89</f>
        <v>70</v>
      </c>
      <c r="Y78" s="216" t="n">
        <f aca="false">'Глубина-день'!H89</f>
        <v>4449</v>
      </c>
      <c r="Z78" s="216" t="n">
        <f aca="false">'Глубина-день'!I89</f>
        <v>30.7</v>
      </c>
      <c r="AA78" s="219" t="n">
        <f aca="false">Z78/24+AA77</f>
        <v>26.8625</v>
      </c>
      <c r="AB78" s="216" t="n">
        <f aca="false">'Глубина-день'!K89</f>
        <v>0</v>
      </c>
      <c r="AC78" s="216" t="n">
        <f aca="false">'Глубина-день'!L89</f>
        <v>0</v>
      </c>
      <c r="AD78" s="219" t="n">
        <f aca="false">AC78/24+AD77</f>
        <v>21.7916666666667</v>
      </c>
      <c r="AE78" s="216" t="n">
        <f aca="false">'Глубина-день'!R89</f>
        <v>30.7</v>
      </c>
      <c r="AF78" s="219" t="n">
        <f aca="false">AE78/24+AF77</f>
        <v>26.8625</v>
      </c>
      <c r="AG78" s="216"/>
      <c r="AH78" s="221"/>
      <c r="AI78" s="216"/>
      <c r="AJ78" s="216"/>
      <c r="AK78" s="221"/>
      <c r="AL78" s="216"/>
      <c r="AM78" s="216"/>
      <c r="AN78" s="221"/>
    </row>
    <row r="79" customFormat="false" ht="16.5" hidden="false" customHeight="false" outlineLevel="0" collapsed="false">
      <c r="X79" s="216"/>
      <c r="Y79" s="216"/>
      <c r="Z79" s="216"/>
      <c r="AA79" s="219"/>
      <c r="AB79" s="216"/>
      <c r="AC79" s="216"/>
      <c r="AD79" s="219"/>
      <c r="AE79" s="216"/>
      <c r="AF79" s="219"/>
      <c r="AG79" s="216"/>
      <c r="AH79" s="221"/>
      <c r="AI79" s="216"/>
      <c r="AJ79" s="216"/>
      <c r="AK79" s="221"/>
      <c r="AL79" s="216"/>
      <c r="AM79" s="216"/>
      <c r="AN79" s="221"/>
    </row>
    <row r="80" customFormat="false" ht="16.5" hidden="false" customHeight="false" outlineLevel="0" collapsed="false">
      <c r="X80" s="216"/>
      <c r="Y80" s="216"/>
      <c r="Z80" s="216"/>
      <c r="AA80" s="219"/>
      <c r="AB80" s="216"/>
      <c r="AC80" s="216"/>
      <c r="AD80" s="219"/>
      <c r="AE80" s="216"/>
      <c r="AF80" s="219"/>
      <c r="AG80" s="216"/>
      <c r="AH80" s="221"/>
      <c r="AI80" s="216"/>
      <c r="AJ80" s="216"/>
      <c r="AK80" s="221"/>
      <c r="AL80" s="216"/>
      <c r="AM80" s="216"/>
      <c r="AN80" s="221"/>
    </row>
    <row r="81" customFormat="false" ht="16.5" hidden="false" customHeight="false" outlineLevel="0" collapsed="false">
      <c r="X81" s="216"/>
      <c r="Y81" s="216"/>
      <c r="Z81" s="216"/>
      <c r="AA81" s="219"/>
      <c r="AB81" s="216"/>
      <c r="AC81" s="216"/>
      <c r="AD81" s="219"/>
      <c r="AE81" s="216"/>
      <c r="AF81" s="219"/>
      <c r="AG81" s="216"/>
      <c r="AH81" s="221"/>
      <c r="AI81" s="216"/>
      <c r="AJ81" s="216"/>
      <c r="AK81" s="221"/>
      <c r="AL81" s="216"/>
      <c r="AM81" s="216"/>
      <c r="AN81" s="221"/>
    </row>
    <row r="82" customFormat="false" ht="16.5" hidden="false" customHeight="false" outlineLevel="0" collapsed="false">
      <c r="X82" s="216"/>
      <c r="Y82" s="216"/>
      <c r="Z82" s="216"/>
      <c r="AA82" s="219"/>
      <c r="AB82" s="216"/>
      <c r="AC82" s="216"/>
      <c r="AD82" s="219"/>
      <c r="AE82" s="216"/>
      <c r="AF82" s="219"/>
      <c r="AG82" s="216"/>
      <c r="AH82" s="221"/>
      <c r="AI82" s="216"/>
      <c r="AJ82" s="216"/>
      <c r="AK82" s="221"/>
      <c r="AL82" s="216"/>
      <c r="AM82" s="216"/>
      <c r="AN82" s="221"/>
    </row>
    <row r="83" customFormat="false" ht="16.5" hidden="false" customHeight="false" outlineLevel="0" collapsed="false">
      <c r="X83" s="216"/>
      <c r="Y83" s="216"/>
      <c r="Z83" s="216"/>
      <c r="AA83" s="219"/>
      <c r="AB83" s="216"/>
      <c r="AC83" s="216"/>
      <c r="AD83" s="219"/>
      <c r="AE83" s="216"/>
      <c r="AF83" s="219"/>
      <c r="AG83" s="216"/>
      <c r="AH83" s="221"/>
      <c r="AI83" s="216"/>
      <c r="AJ83" s="216"/>
      <c r="AK83" s="221"/>
      <c r="AL83" s="216"/>
      <c r="AM83" s="216"/>
      <c r="AN83" s="221"/>
    </row>
    <row r="84" customFormat="false" ht="16.5" hidden="false" customHeight="false" outlineLevel="0" collapsed="false">
      <c r="X84" s="216"/>
      <c r="Y84" s="216"/>
      <c r="Z84" s="216"/>
      <c r="AA84" s="219"/>
      <c r="AB84" s="216"/>
      <c r="AC84" s="216"/>
      <c r="AD84" s="219"/>
      <c r="AE84" s="216"/>
      <c r="AF84" s="219"/>
      <c r="AG84" s="216"/>
      <c r="AH84" s="221"/>
      <c r="AI84" s="216"/>
      <c r="AJ84" s="216"/>
      <c r="AK84" s="221"/>
      <c r="AL84" s="216"/>
      <c r="AM84" s="216"/>
      <c r="AN84" s="221"/>
    </row>
    <row r="85" customFormat="false" ht="16.5" hidden="false" customHeight="false" outlineLevel="0" collapsed="false">
      <c r="X85" s="216"/>
      <c r="Y85" s="216"/>
      <c r="Z85" s="216"/>
      <c r="AA85" s="219"/>
      <c r="AB85" s="216"/>
      <c r="AC85" s="216"/>
      <c r="AD85" s="219"/>
      <c r="AE85" s="216"/>
      <c r="AF85" s="219"/>
      <c r="AG85" s="216"/>
      <c r="AH85" s="221"/>
      <c r="AI85" s="216"/>
      <c r="AJ85" s="216"/>
      <c r="AK85" s="221"/>
      <c r="AL85" s="216"/>
      <c r="AM85" s="216"/>
      <c r="AN85" s="221"/>
    </row>
    <row r="86" customFormat="false" ht="16.5" hidden="false" customHeight="false" outlineLevel="0" collapsed="false">
      <c r="X86" s="216"/>
      <c r="Y86" s="216"/>
      <c r="Z86" s="216"/>
      <c r="AA86" s="219"/>
      <c r="AB86" s="216"/>
      <c r="AC86" s="216"/>
      <c r="AD86" s="219"/>
      <c r="AE86" s="216"/>
      <c r="AF86" s="219"/>
      <c r="AG86" s="216"/>
      <c r="AH86" s="221"/>
      <c r="AI86" s="216"/>
      <c r="AJ86" s="216"/>
      <c r="AK86" s="221"/>
      <c r="AL86" s="216"/>
      <c r="AM86" s="216"/>
      <c r="AN86" s="221"/>
    </row>
    <row r="87" customFormat="false" ht="16.5" hidden="false" customHeight="false" outlineLevel="0" collapsed="false">
      <c r="X87" s="216"/>
      <c r="Y87" s="216"/>
      <c r="Z87" s="216"/>
      <c r="AA87" s="219"/>
      <c r="AB87" s="216"/>
      <c r="AC87" s="216"/>
      <c r="AD87" s="219"/>
      <c r="AE87" s="216"/>
      <c r="AF87" s="219"/>
      <c r="AG87" s="216"/>
      <c r="AH87" s="221"/>
      <c r="AI87" s="216"/>
      <c r="AJ87" s="216"/>
      <c r="AK87" s="221"/>
      <c r="AL87" s="216"/>
      <c r="AM87" s="216"/>
      <c r="AN87" s="221"/>
    </row>
    <row r="88" customFormat="false" ht="16.5" hidden="false" customHeight="false" outlineLevel="0" collapsed="false">
      <c r="X88" s="216"/>
      <c r="Y88" s="216"/>
      <c r="Z88" s="216"/>
      <c r="AA88" s="219"/>
      <c r="AB88" s="216"/>
      <c r="AC88" s="216"/>
      <c r="AD88" s="219"/>
      <c r="AE88" s="216"/>
      <c r="AF88" s="219"/>
      <c r="AG88" s="216"/>
      <c r="AH88" s="221"/>
      <c r="AI88" s="216"/>
      <c r="AJ88" s="216"/>
      <c r="AK88" s="221"/>
      <c r="AL88" s="216"/>
      <c r="AM88" s="216"/>
      <c r="AN88" s="221"/>
    </row>
    <row r="89" customFormat="false" ht="16.5" hidden="false" customHeight="false" outlineLevel="0" collapsed="false">
      <c r="X89" s="216"/>
      <c r="Y89" s="216"/>
      <c r="Z89" s="216"/>
      <c r="AA89" s="219"/>
      <c r="AB89" s="216"/>
      <c r="AC89" s="216"/>
      <c r="AD89" s="219"/>
      <c r="AE89" s="216"/>
      <c r="AF89" s="219"/>
      <c r="AG89" s="216"/>
      <c r="AH89" s="221"/>
      <c r="AI89" s="216"/>
      <c r="AJ89" s="216"/>
      <c r="AK89" s="221"/>
      <c r="AL89" s="216"/>
      <c r="AM89" s="216"/>
      <c r="AN89" s="221"/>
    </row>
    <row r="90" customFormat="false" ht="16.5" hidden="false" customHeight="false" outlineLevel="0" collapsed="false">
      <c r="X90" s="216"/>
      <c r="Y90" s="216"/>
      <c r="Z90" s="216"/>
      <c r="AA90" s="219"/>
      <c r="AB90" s="216"/>
      <c r="AC90" s="216"/>
      <c r="AD90" s="219"/>
      <c r="AE90" s="216"/>
      <c r="AF90" s="219"/>
      <c r="AG90" s="216"/>
      <c r="AH90" s="221"/>
      <c r="AI90" s="216"/>
      <c r="AJ90" s="216"/>
      <c r="AK90" s="221"/>
      <c r="AL90" s="216"/>
      <c r="AM90" s="216"/>
      <c r="AN90" s="221"/>
    </row>
    <row r="91" customFormat="false" ht="16.5" hidden="false" customHeight="false" outlineLevel="0" collapsed="false">
      <c r="X91" s="216"/>
      <c r="Y91" s="216"/>
      <c r="Z91" s="216"/>
      <c r="AA91" s="219"/>
      <c r="AB91" s="216"/>
      <c r="AC91" s="216"/>
      <c r="AD91" s="219"/>
      <c r="AE91" s="216"/>
      <c r="AF91" s="219"/>
      <c r="AG91" s="216"/>
      <c r="AH91" s="221"/>
      <c r="AI91" s="216"/>
      <c r="AJ91" s="216"/>
      <c r="AK91" s="221"/>
      <c r="AL91" s="216"/>
      <c r="AM91" s="216"/>
      <c r="AN91" s="221"/>
    </row>
    <row r="92" customFormat="false" ht="16.5" hidden="false" customHeight="false" outlineLevel="0" collapsed="false">
      <c r="X92" s="216"/>
      <c r="Y92" s="216"/>
      <c r="Z92" s="216"/>
      <c r="AA92" s="219"/>
      <c r="AB92" s="216"/>
      <c r="AC92" s="216"/>
      <c r="AD92" s="219"/>
      <c r="AE92" s="216"/>
      <c r="AF92" s="219"/>
      <c r="AG92" s="216"/>
      <c r="AH92" s="221"/>
      <c r="AI92" s="216"/>
      <c r="AJ92" s="216"/>
      <c r="AK92" s="221"/>
      <c r="AL92" s="216"/>
      <c r="AM92" s="216"/>
      <c r="AN92" s="221"/>
    </row>
    <row r="93" customFormat="false" ht="16.5" hidden="false" customHeight="false" outlineLevel="0" collapsed="false">
      <c r="X93" s="216"/>
      <c r="Y93" s="216"/>
      <c r="Z93" s="216"/>
      <c r="AA93" s="219"/>
      <c r="AB93" s="216"/>
      <c r="AC93" s="216"/>
      <c r="AD93" s="219"/>
      <c r="AE93" s="216"/>
      <c r="AF93" s="219"/>
      <c r="AG93" s="216"/>
      <c r="AH93" s="221"/>
      <c r="AI93" s="216"/>
      <c r="AJ93" s="216"/>
      <c r="AK93" s="221"/>
      <c r="AL93" s="216"/>
      <c r="AM93" s="216"/>
      <c r="AN93" s="221"/>
    </row>
    <row r="94" customFormat="false" ht="16.5" hidden="false" customHeight="false" outlineLevel="0" collapsed="false">
      <c r="X94" s="216"/>
      <c r="Y94" s="216"/>
      <c r="Z94" s="216"/>
      <c r="AA94" s="219"/>
      <c r="AB94" s="216"/>
      <c r="AC94" s="216"/>
      <c r="AD94" s="219"/>
      <c r="AE94" s="216"/>
      <c r="AF94" s="219"/>
      <c r="AG94" s="216"/>
      <c r="AH94" s="221"/>
      <c r="AI94" s="216"/>
      <c r="AJ94" s="216"/>
      <c r="AK94" s="221"/>
      <c r="AL94" s="216"/>
      <c r="AM94" s="216"/>
      <c r="AN94" s="221"/>
    </row>
    <row r="95" customFormat="false" ht="16.5" hidden="false" customHeight="false" outlineLevel="0" collapsed="false">
      <c r="X95" s="216"/>
      <c r="Y95" s="216"/>
      <c r="Z95" s="216"/>
      <c r="AA95" s="219"/>
      <c r="AB95" s="216"/>
      <c r="AC95" s="216"/>
      <c r="AD95" s="219"/>
      <c r="AE95" s="216"/>
      <c r="AF95" s="219"/>
      <c r="AG95" s="216"/>
      <c r="AH95" s="221"/>
      <c r="AI95" s="216"/>
      <c r="AJ95" s="216"/>
      <c r="AK95" s="221"/>
      <c r="AL95" s="216"/>
      <c r="AM95" s="216"/>
      <c r="AN95" s="221"/>
    </row>
    <row r="96" customFormat="false" ht="16.5" hidden="false" customHeight="false" outlineLevel="0" collapsed="false">
      <c r="X96" s="216"/>
      <c r="Y96" s="216"/>
      <c r="Z96" s="216"/>
      <c r="AA96" s="219"/>
      <c r="AB96" s="216"/>
      <c r="AC96" s="216"/>
      <c r="AD96" s="219"/>
      <c r="AE96" s="216"/>
      <c r="AF96" s="219"/>
      <c r="AG96" s="216"/>
      <c r="AH96" s="221"/>
      <c r="AI96" s="216"/>
      <c r="AJ96" s="216"/>
      <c r="AK96" s="221"/>
      <c r="AL96" s="216"/>
      <c r="AM96" s="216"/>
      <c r="AN96" s="221"/>
    </row>
    <row r="97" customFormat="false" ht="16.5" hidden="false" customHeight="false" outlineLevel="0" collapsed="false">
      <c r="X97" s="216"/>
      <c r="Y97" s="216"/>
      <c r="Z97" s="216"/>
      <c r="AA97" s="219"/>
      <c r="AB97" s="216"/>
      <c r="AC97" s="216"/>
      <c r="AD97" s="219"/>
      <c r="AE97" s="216"/>
      <c r="AF97" s="219"/>
      <c r="AG97" s="216"/>
      <c r="AH97" s="221"/>
      <c r="AI97" s="216"/>
      <c r="AJ97" s="216"/>
      <c r="AK97" s="221"/>
      <c r="AL97" s="216"/>
      <c r="AM97" s="216"/>
      <c r="AN97" s="221"/>
    </row>
    <row r="98" customFormat="false" ht="16.5" hidden="false" customHeight="false" outlineLevel="0" collapsed="false">
      <c r="X98" s="216"/>
      <c r="Y98" s="216"/>
      <c r="Z98" s="216"/>
      <c r="AA98" s="219"/>
      <c r="AB98" s="216"/>
      <c r="AC98" s="216"/>
      <c r="AD98" s="219"/>
      <c r="AE98" s="216"/>
      <c r="AF98" s="219"/>
      <c r="AG98" s="216"/>
      <c r="AH98" s="221"/>
      <c r="AI98" s="216"/>
      <c r="AJ98" s="216"/>
      <c r="AK98" s="221"/>
      <c r="AL98" s="216"/>
      <c r="AM98" s="216"/>
      <c r="AN98" s="221"/>
    </row>
    <row r="99" customFormat="false" ht="16.5" hidden="false" customHeight="false" outlineLevel="0" collapsed="false">
      <c r="X99" s="216"/>
      <c r="Y99" s="216"/>
      <c r="Z99" s="216"/>
      <c r="AA99" s="219"/>
      <c r="AB99" s="216"/>
      <c r="AC99" s="216"/>
      <c r="AD99" s="219"/>
      <c r="AE99" s="216"/>
      <c r="AF99" s="219"/>
      <c r="AG99" s="216"/>
      <c r="AH99" s="221"/>
      <c r="AI99" s="216"/>
      <c r="AJ99" s="216"/>
      <c r="AK99" s="221"/>
      <c r="AL99" s="216"/>
      <c r="AM99" s="216"/>
      <c r="AN99" s="221"/>
    </row>
    <row r="100" customFormat="false" ht="16.5" hidden="false" customHeight="false" outlineLevel="0" collapsed="false">
      <c r="X100" s="216"/>
      <c r="Y100" s="216"/>
      <c r="Z100" s="216"/>
      <c r="AA100" s="219"/>
      <c r="AB100" s="216"/>
      <c r="AC100" s="216"/>
      <c r="AD100" s="219"/>
      <c r="AE100" s="216"/>
      <c r="AF100" s="219"/>
      <c r="AG100" s="216"/>
      <c r="AH100" s="221"/>
      <c r="AI100" s="216"/>
      <c r="AJ100" s="216"/>
      <c r="AK100" s="221"/>
      <c r="AL100" s="216"/>
      <c r="AM100" s="216"/>
      <c r="AN100" s="221"/>
    </row>
    <row r="101" customFormat="false" ht="16.5" hidden="false" customHeight="false" outlineLevel="0" collapsed="false">
      <c r="X101" s="216"/>
      <c r="Y101" s="216"/>
      <c r="Z101" s="216"/>
      <c r="AA101" s="219"/>
      <c r="AB101" s="216"/>
      <c r="AC101" s="216"/>
      <c r="AD101" s="219"/>
      <c r="AE101" s="216"/>
      <c r="AF101" s="219"/>
      <c r="AG101" s="216"/>
      <c r="AH101" s="221"/>
      <c r="AI101" s="216"/>
      <c r="AJ101" s="216"/>
      <c r="AK101" s="221"/>
      <c r="AL101" s="216"/>
      <c r="AM101" s="216"/>
      <c r="AN101" s="221"/>
    </row>
    <row r="102" customFormat="false" ht="16.5" hidden="false" customHeight="false" outlineLevel="0" collapsed="false">
      <c r="X102" s="216"/>
      <c r="Y102" s="216"/>
      <c r="Z102" s="216"/>
      <c r="AA102" s="219"/>
      <c r="AB102" s="216"/>
      <c r="AC102" s="216"/>
      <c r="AD102" s="219"/>
      <c r="AE102" s="216"/>
      <c r="AF102" s="219"/>
      <c r="AG102" s="216"/>
      <c r="AH102" s="221"/>
      <c r="AI102" s="216"/>
      <c r="AJ102" s="216"/>
      <c r="AK102" s="221"/>
      <c r="AL102" s="216"/>
      <c r="AM102" s="216"/>
      <c r="AN102" s="221"/>
    </row>
    <row r="103" customFormat="false" ht="16.5" hidden="false" customHeight="false" outlineLevel="0" collapsed="false">
      <c r="X103" s="216"/>
      <c r="Y103" s="216"/>
      <c r="Z103" s="216"/>
      <c r="AA103" s="219"/>
      <c r="AB103" s="216"/>
      <c r="AC103" s="216"/>
      <c r="AD103" s="219"/>
      <c r="AE103" s="216"/>
      <c r="AF103" s="219"/>
      <c r="AG103" s="216"/>
      <c r="AH103" s="221"/>
      <c r="AI103" s="216"/>
      <c r="AJ103" s="216"/>
      <c r="AK103" s="221"/>
      <c r="AL103" s="216"/>
      <c r="AM103" s="216"/>
      <c r="AN103" s="221"/>
    </row>
    <row r="104" customFormat="false" ht="16.5" hidden="false" customHeight="false" outlineLevel="0" collapsed="false">
      <c r="X104" s="216"/>
      <c r="Y104" s="216"/>
      <c r="Z104" s="216"/>
      <c r="AA104" s="219"/>
      <c r="AB104" s="216"/>
      <c r="AC104" s="216"/>
      <c r="AD104" s="219"/>
      <c r="AE104" s="216"/>
      <c r="AF104" s="219"/>
      <c r="AG104" s="216"/>
      <c r="AH104" s="221"/>
      <c r="AI104" s="216"/>
      <c r="AJ104" s="216"/>
      <c r="AK104" s="221"/>
      <c r="AL104" s="216"/>
      <c r="AM104" s="216"/>
      <c r="AN104" s="221"/>
    </row>
    <row r="105" customFormat="false" ht="16.5" hidden="false" customHeight="false" outlineLevel="0" collapsed="false">
      <c r="X105" s="216"/>
      <c r="Y105" s="216"/>
      <c r="Z105" s="216"/>
      <c r="AA105" s="219"/>
      <c r="AB105" s="216"/>
      <c r="AC105" s="216"/>
      <c r="AD105" s="219"/>
      <c r="AE105" s="216"/>
      <c r="AF105" s="219"/>
      <c r="AG105" s="216"/>
      <c r="AH105" s="221"/>
      <c r="AI105" s="216"/>
      <c r="AJ105" s="216"/>
      <c r="AK105" s="221"/>
      <c r="AL105" s="216"/>
      <c r="AM105" s="216"/>
      <c r="AN105" s="221"/>
    </row>
    <row r="106" customFormat="false" ht="16.5" hidden="false" customHeight="false" outlineLevel="0" collapsed="false">
      <c r="X106" s="216"/>
      <c r="Y106" s="216"/>
      <c r="Z106" s="216"/>
      <c r="AA106" s="219"/>
      <c r="AB106" s="216"/>
      <c r="AC106" s="216"/>
      <c r="AD106" s="219"/>
      <c r="AE106" s="216"/>
      <c r="AF106" s="219"/>
      <c r="AG106" s="216"/>
      <c r="AH106" s="221"/>
      <c r="AI106" s="216"/>
      <c r="AJ106" s="216"/>
      <c r="AK106" s="221"/>
      <c r="AL106" s="216"/>
      <c r="AM106" s="216"/>
      <c r="AN106" s="221"/>
    </row>
    <row r="107" customFormat="false" ht="16.5" hidden="false" customHeight="false" outlineLevel="0" collapsed="false">
      <c r="X107" s="216"/>
      <c r="Y107" s="216"/>
      <c r="Z107" s="216"/>
      <c r="AA107" s="219"/>
      <c r="AB107" s="216"/>
      <c r="AC107" s="216"/>
      <c r="AD107" s="219"/>
      <c r="AE107" s="216"/>
      <c r="AF107" s="219"/>
      <c r="AG107" s="216"/>
      <c r="AH107" s="221"/>
      <c r="AI107" s="216"/>
      <c r="AJ107" s="216"/>
      <c r="AK107" s="221"/>
      <c r="AL107" s="216"/>
      <c r="AM107" s="216"/>
      <c r="AN107" s="221"/>
    </row>
    <row r="108" customFormat="false" ht="16.5" hidden="false" customHeight="false" outlineLevel="0" collapsed="false">
      <c r="X108" s="216"/>
      <c r="Y108" s="216"/>
      <c r="Z108" s="216"/>
      <c r="AA108" s="219"/>
      <c r="AB108" s="216"/>
      <c r="AC108" s="216"/>
      <c r="AD108" s="219"/>
      <c r="AE108" s="216"/>
      <c r="AF108" s="219"/>
      <c r="AG108" s="216"/>
      <c r="AH108" s="221"/>
      <c r="AI108" s="216"/>
      <c r="AJ108" s="216"/>
      <c r="AK108" s="221"/>
      <c r="AL108" s="216"/>
      <c r="AM108" s="216"/>
      <c r="AN108" s="221"/>
    </row>
    <row r="109" customFormat="false" ht="16.5" hidden="false" customHeight="false" outlineLevel="0" collapsed="false">
      <c r="X109" s="216"/>
      <c r="Y109" s="216"/>
      <c r="Z109" s="216"/>
      <c r="AA109" s="219"/>
      <c r="AB109" s="216"/>
      <c r="AC109" s="216"/>
      <c r="AD109" s="219"/>
      <c r="AE109" s="216"/>
      <c r="AF109" s="219"/>
      <c r="AG109" s="216"/>
      <c r="AH109" s="221"/>
      <c r="AI109" s="216"/>
      <c r="AJ109" s="216"/>
      <c r="AK109" s="221"/>
      <c r="AL109" s="216"/>
      <c r="AM109" s="216"/>
      <c r="AN109" s="221"/>
    </row>
    <row r="110" customFormat="false" ht="16.5" hidden="false" customHeight="false" outlineLevel="0" collapsed="false">
      <c r="X110" s="216"/>
      <c r="Y110" s="216"/>
      <c r="Z110" s="216"/>
      <c r="AA110" s="219"/>
      <c r="AB110" s="216"/>
      <c r="AC110" s="216"/>
      <c r="AD110" s="219"/>
      <c r="AE110" s="216"/>
      <c r="AF110" s="219"/>
      <c r="AG110" s="216"/>
      <c r="AH110" s="221"/>
      <c r="AI110" s="216"/>
      <c r="AJ110" s="216"/>
      <c r="AK110" s="221"/>
      <c r="AL110" s="216"/>
      <c r="AM110" s="216"/>
      <c r="AN110" s="221"/>
    </row>
    <row r="111" customFormat="false" ht="16.5" hidden="false" customHeight="false" outlineLevel="0" collapsed="false">
      <c r="X111" s="216"/>
      <c r="Y111" s="216"/>
      <c r="Z111" s="216"/>
      <c r="AA111" s="219"/>
      <c r="AB111" s="216"/>
      <c r="AC111" s="216"/>
      <c r="AD111" s="219"/>
      <c r="AE111" s="216"/>
      <c r="AF111" s="219"/>
      <c r="AG111" s="216"/>
      <c r="AH111" s="221"/>
      <c r="AI111" s="216"/>
      <c r="AJ111" s="216"/>
      <c r="AK111" s="221"/>
      <c r="AL111" s="216"/>
      <c r="AM111" s="216"/>
      <c r="AN111" s="221"/>
    </row>
    <row r="112" customFormat="false" ht="16.5" hidden="false" customHeight="false" outlineLevel="0" collapsed="false">
      <c r="X112" s="216"/>
      <c r="Y112" s="216"/>
      <c r="Z112" s="216"/>
      <c r="AA112" s="219"/>
      <c r="AB112" s="216"/>
      <c r="AC112" s="216"/>
      <c r="AD112" s="219"/>
      <c r="AE112" s="216"/>
      <c r="AF112" s="219"/>
      <c r="AG112" s="216"/>
      <c r="AH112" s="221"/>
      <c r="AI112" s="216"/>
      <c r="AJ112" s="216"/>
      <c r="AK112" s="221"/>
      <c r="AL112" s="216"/>
      <c r="AM112" s="216"/>
      <c r="AN112" s="221"/>
    </row>
    <row r="113" customFormat="false" ht="16.5" hidden="false" customHeight="false" outlineLevel="0" collapsed="false">
      <c r="X113" s="216"/>
      <c r="Y113" s="216"/>
      <c r="Z113" s="216"/>
      <c r="AA113" s="219"/>
      <c r="AB113" s="216"/>
      <c r="AC113" s="216"/>
      <c r="AD113" s="219"/>
      <c r="AE113" s="216"/>
      <c r="AF113" s="219"/>
      <c r="AG113" s="216"/>
      <c r="AH113" s="221"/>
      <c r="AI113" s="216"/>
      <c r="AJ113" s="216"/>
      <c r="AK113" s="221"/>
      <c r="AL113" s="216"/>
      <c r="AM113" s="216"/>
      <c r="AN113" s="221"/>
    </row>
    <row r="114" customFormat="false" ht="16.5" hidden="false" customHeight="false" outlineLevel="0" collapsed="false">
      <c r="X114" s="216"/>
      <c r="Y114" s="216"/>
      <c r="Z114" s="216"/>
      <c r="AA114" s="219"/>
      <c r="AB114" s="216"/>
      <c r="AC114" s="216"/>
      <c r="AD114" s="219"/>
      <c r="AE114" s="216"/>
      <c r="AF114" s="219"/>
    </row>
    <row r="115" customFormat="false" ht="16.5" hidden="false" customHeight="false" outlineLevel="0" collapsed="false">
      <c r="X115" s="216"/>
      <c r="Y115" s="216"/>
      <c r="Z115" s="216"/>
      <c r="AA115" s="219"/>
      <c r="AB115" s="216"/>
      <c r="AC115" s="216"/>
      <c r="AD115" s="219"/>
      <c r="AE115" s="216"/>
      <c r="AF115" s="219"/>
    </row>
    <row r="116" customFormat="false" ht="16.5" hidden="false" customHeight="false" outlineLevel="0" collapsed="false">
      <c r="X116" s="216"/>
      <c r="Y116" s="216"/>
      <c r="Z116" s="216"/>
      <c r="AA116" s="219"/>
      <c r="AB116" s="216"/>
      <c r="AC116" s="216"/>
      <c r="AD116" s="219"/>
      <c r="AE116" s="216"/>
      <c r="AF116" s="219"/>
    </row>
    <row r="117" customFormat="false" ht="16.5" hidden="false" customHeight="false" outlineLevel="0" collapsed="false">
      <c r="X117" s="216"/>
      <c r="Y117" s="216"/>
      <c r="Z117" s="216"/>
      <c r="AA117" s="219"/>
      <c r="AB117" s="216"/>
      <c r="AC117" s="216"/>
      <c r="AD117" s="219"/>
      <c r="AE117" s="216"/>
      <c r="AF117" s="219"/>
    </row>
    <row r="118" customFormat="false" ht="16.5" hidden="false" customHeight="false" outlineLevel="0" collapsed="false">
      <c r="X118" s="216"/>
      <c r="Y118" s="216"/>
      <c r="Z118" s="216"/>
      <c r="AA118" s="219"/>
      <c r="AB118" s="216"/>
      <c r="AC118" s="216"/>
      <c r="AD118" s="219"/>
      <c r="AE118" s="216"/>
      <c r="AF118" s="219"/>
    </row>
  </sheetData>
  <mergeCells count="13">
    <mergeCell ref="E2:F2"/>
    <mergeCell ref="I2:J3"/>
    <mergeCell ref="K2:L2"/>
    <mergeCell ref="O2:P2"/>
    <mergeCell ref="E3:F3"/>
    <mergeCell ref="K3:L3"/>
    <mergeCell ref="O3:P3"/>
    <mergeCell ref="E4:F4"/>
    <mergeCell ref="O4:P4"/>
    <mergeCell ref="Y7:Y8"/>
    <mergeCell ref="AB7:AB8"/>
    <mergeCell ref="AI7:AK7"/>
    <mergeCell ref="AL7:AN7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0" zoomScalePageLayoutView="100" workbookViewId="0">
      <selection pane="topLeft" activeCell="B27" activeCellId="0" sqref="B27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0.42"/>
    <col collapsed="false" customWidth="true" hidden="false" outlineLevel="0" max="4" min="4" style="0" width="16.14"/>
    <col collapsed="false" customWidth="true" hidden="false" outlineLevel="0" max="5" min="5" style="0" width="16.57"/>
    <col collapsed="false" customWidth="true" hidden="false" outlineLevel="0" max="7" min="7" style="0" width="11.85"/>
    <col collapsed="false" customWidth="true" hidden="false" outlineLevel="0" max="8" min="8" style="0" width="14.57"/>
    <col collapsed="false" customWidth="true" hidden="false" outlineLevel="0" max="9" min="9" style="0" width="10.57"/>
    <col collapsed="false" customWidth="true" hidden="false" outlineLevel="0" max="10" min="10" style="0" width="17.57"/>
    <col collapsed="false" customWidth="true" hidden="false" outlineLevel="0" max="11" min="11" style="0" width="45.57"/>
    <col collapsed="false" customWidth="true" hidden="false" outlineLevel="0" max="12" min="12" style="0" width="28"/>
    <col collapsed="false" customWidth="true" hidden="false" outlineLevel="0" max="13" min="13" style="0" width="10.57"/>
  </cols>
  <sheetData>
    <row r="1" customFormat="false" ht="38.25" hidden="false" customHeight="false" outlineLevel="0" collapsed="false">
      <c r="A1" s="227" t="s">
        <v>178</v>
      </c>
      <c r="B1" s="228" t="s">
        <v>179</v>
      </c>
      <c r="C1" s="228" t="s">
        <v>180</v>
      </c>
      <c r="D1" s="229" t="s">
        <v>181</v>
      </c>
      <c r="E1" s="229" t="s">
        <v>182</v>
      </c>
      <c r="F1" s="230" t="s">
        <v>183</v>
      </c>
      <c r="G1" s="229" t="s">
        <v>184</v>
      </c>
      <c r="H1" s="228" t="s">
        <v>185</v>
      </c>
      <c r="I1" s="228" t="s">
        <v>186</v>
      </c>
      <c r="J1" s="228" t="s">
        <v>187</v>
      </c>
      <c r="K1" s="228" t="s">
        <v>188</v>
      </c>
      <c r="L1" s="228" t="s">
        <v>189</v>
      </c>
      <c r="M1" s="231" t="s">
        <v>190</v>
      </c>
    </row>
    <row r="2" s="236" customFormat="true" ht="15" hidden="false" customHeight="false" outlineLevel="0" collapsed="false">
      <c r="A2" s="232"/>
      <c r="B2" s="233"/>
      <c r="C2" s="233"/>
      <c r="D2" s="233"/>
      <c r="E2" s="233"/>
      <c r="F2" s="234"/>
      <c r="G2" s="233"/>
      <c r="H2" s="233"/>
      <c r="I2" s="233"/>
      <c r="J2" s="233"/>
      <c r="K2" s="233"/>
      <c r="L2" s="233"/>
      <c r="M2" s="235"/>
    </row>
    <row r="3" customFormat="false" ht="27" hidden="false" customHeight="true" outlineLevel="0" collapsed="false">
      <c r="A3" s="237" t="n">
        <v>1</v>
      </c>
      <c r="B3" s="237"/>
      <c r="C3" s="238"/>
      <c r="D3" s="239"/>
      <c r="E3" s="239"/>
      <c r="F3" s="237"/>
      <c r="G3" s="240"/>
      <c r="H3" s="237"/>
      <c r="I3" s="241"/>
      <c r="J3" s="241"/>
      <c r="K3" s="241"/>
      <c r="L3" s="242"/>
      <c r="M3" s="243"/>
    </row>
    <row r="4" customFormat="false" ht="15" hidden="false" customHeight="false" outlineLevel="0" collapsed="false">
      <c r="A4" s="237" t="n">
        <v>2</v>
      </c>
      <c r="B4" s="237"/>
      <c r="C4" s="238"/>
      <c r="D4" s="239"/>
      <c r="E4" s="239"/>
      <c r="F4" s="237"/>
      <c r="G4" s="240"/>
      <c r="H4" s="237"/>
      <c r="I4" s="241"/>
      <c r="J4" s="241"/>
      <c r="K4" s="241"/>
      <c r="L4" s="242"/>
      <c r="M4" s="243"/>
    </row>
    <row r="5" customFormat="false" ht="15" hidden="false" customHeight="false" outlineLevel="0" collapsed="false">
      <c r="A5" s="237" t="n">
        <v>3</v>
      </c>
      <c r="B5" s="237"/>
      <c r="C5" s="238"/>
      <c r="D5" s="239"/>
      <c r="E5" s="239"/>
      <c r="F5" s="237"/>
      <c r="G5" s="240"/>
      <c r="H5" s="237"/>
      <c r="I5" s="241"/>
      <c r="J5" s="241"/>
      <c r="K5" s="241"/>
      <c r="L5" s="242"/>
      <c r="M5" s="243"/>
    </row>
    <row r="6" customFormat="false" ht="15" hidden="false" customHeight="false" outlineLevel="0" collapsed="false">
      <c r="A6" s="237" t="n">
        <v>4</v>
      </c>
      <c r="B6" s="237"/>
      <c r="C6" s="238"/>
      <c r="D6" s="239"/>
      <c r="E6" s="239"/>
      <c r="F6" s="237"/>
      <c r="G6" s="240"/>
      <c r="H6" s="237"/>
      <c r="I6" s="241"/>
      <c r="J6" s="241"/>
      <c r="K6" s="244"/>
      <c r="L6" s="242"/>
      <c r="M6" s="243"/>
    </row>
    <row r="7" customFormat="false" ht="15" hidden="false" customHeight="false" outlineLevel="0" collapsed="false">
      <c r="A7" s="237" t="n">
        <v>5</v>
      </c>
      <c r="B7" s="237"/>
      <c r="C7" s="238"/>
      <c r="D7" s="239"/>
      <c r="E7" s="239"/>
      <c r="F7" s="237"/>
      <c r="G7" s="240"/>
      <c r="H7" s="237"/>
      <c r="I7" s="241"/>
      <c r="J7" s="241"/>
      <c r="K7" s="241"/>
      <c r="L7" s="242"/>
      <c r="M7" s="243"/>
    </row>
    <row r="8" customFormat="false" ht="15" hidden="false" customHeight="false" outlineLevel="0" collapsed="false">
      <c r="A8" s="237" t="n">
        <v>6</v>
      </c>
      <c r="B8" s="237"/>
      <c r="C8" s="238"/>
      <c r="D8" s="239"/>
      <c r="E8" s="239"/>
      <c r="F8" s="237"/>
      <c r="G8" s="240"/>
      <c r="H8" s="237"/>
      <c r="I8" s="241"/>
      <c r="J8" s="241"/>
      <c r="K8" s="244"/>
      <c r="L8" s="242"/>
      <c r="M8" s="243"/>
    </row>
    <row r="9" customFormat="false" ht="15" hidden="false" customHeight="false" outlineLevel="0" collapsed="false">
      <c r="A9" s="237" t="n">
        <v>7</v>
      </c>
      <c r="B9" s="237"/>
      <c r="C9" s="238"/>
      <c r="D9" s="239"/>
      <c r="E9" s="245"/>
      <c r="F9" s="237"/>
      <c r="G9" s="240"/>
      <c r="H9" s="237"/>
      <c r="I9" s="241"/>
      <c r="J9" s="241"/>
      <c r="K9" s="246"/>
      <c r="L9" s="242"/>
      <c r="M9" s="247"/>
    </row>
    <row r="10" customFormat="false" ht="15" hidden="false" customHeight="false" outlineLevel="0" collapsed="false">
      <c r="A10" s="237" t="n">
        <v>8</v>
      </c>
      <c r="B10" s="237"/>
      <c r="C10" s="238"/>
      <c r="D10" s="248"/>
      <c r="E10" s="248"/>
      <c r="F10" s="237"/>
      <c r="G10" s="240"/>
      <c r="H10" s="237"/>
      <c r="I10" s="241"/>
      <c r="J10" s="241"/>
      <c r="K10" s="249"/>
      <c r="L10" s="242"/>
      <c r="M10" s="250"/>
    </row>
    <row r="11" customFormat="false" ht="15" hidden="false" customHeight="false" outlineLevel="0" collapsed="false">
      <c r="A11" s="237" t="n">
        <v>9</v>
      </c>
      <c r="B11" s="237"/>
      <c r="C11" s="238"/>
      <c r="D11" s="248"/>
      <c r="E11" s="248"/>
      <c r="F11" s="237"/>
      <c r="G11" s="240"/>
      <c r="H11" s="237"/>
      <c r="I11" s="241"/>
      <c r="J11" s="241"/>
      <c r="K11" s="244"/>
      <c r="L11" s="242"/>
      <c r="M11" s="250"/>
    </row>
    <row r="12" customFormat="false" ht="15" hidden="false" customHeight="false" outlineLevel="0" collapsed="false">
      <c r="A12" s="237" t="n">
        <v>10</v>
      </c>
      <c r="B12" s="237"/>
      <c r="C12" s="238"/>
      <c r="D12" s="248"/>
      <c r="E12" s="248"/>
      <c r="F12" s="237"/>
      <c r="G12" s="240"/>
      <c r="H12" s="237"/>
      <c r="I12" s="241"/>
      <c r="J12" s="241"/>
      <c r="K12" s="251"/>
      <c r="L12" s="242"/>
      <c r="M12" s="252"/>
    </row>
    <row r="13" customFormat="false" ht="15" hidden="false" customHeight="false" outlineLevel="0" collapsed="false">
      <c r="A13" s="237" t="n">
        <v>11</v>
      </c>
      <c r="B13" s="237"/>
      <c r="C13" s="238"/>
      <c r="D13" s="248"/>
      <c r="E13" s="248"/>
      <c r="F13" s="237"/>
      <c r="G13" s="240"/>
      <c r="H13" s="237"/>
      <c r="I13" s="241"/>
      <c r="J13" s="241"/>
      <c r="K13" s="251"/>
      <c r="L13" s="242"/>
      <c r="M13" s="250"/>
    </row>
    <row r="14" customFormat="false" ht="15" hidden="false" customHeight="false" outlineLevel="0" collapsed="false">
      <c r="A14" s="237" t="n">
        <v>12</v>
      </c>
      <c r="B14" s="237"/>
      <c r="C14" s="238"/>
      <c r="D14" s="253"/>
      <c r="E14" s="253"/>
      <c r="F14" s="237"/>
      <c r="G14" s="240"/>
      <c r="H14" s="237"/>
      <c r="I14" s="241"/>
      <c r="J14" s="241"/>
      <c r="K14" s="254"/>
      <c r="L14" s="242"/>
      <c r="M14" s="255"/>
    </row>
    <row r="15" customFormat="false" ht="15" hidden="false" customHeight="false" outlineLevel="0" collapsed="false">
      <c r="A15" s="237" t="n">
        <v>13</v>
      </c>
      <c r="B15" s="237"/>
      <c r="C15" s="238"/>
      <c r="D15" s="248"/>
      <c r="E15" s="248"/>
      <c r="F15" s="237"/>
      <c r="G15" s="240"/>
      <c r="H15" s="237"/>
      <c r="I15" s="241"/>
      <c r="J15" s="241"/>
      <c r="K15" s="241"/>
      <c r="L15" s="242"/>
      <c r="M15" s="250"/>
    </row>
    <row r="16" customFormat="false" ht="15" hidden="false" customHeight="false" outlineLevel="0" collapsed="false">
      <c r="A16" s="237" t="n">
        <v>14</v>
      </c>
      <c r="B16" s="237"/>
      <c r="C16" s="238"/>
      <c r="D16" s="248"/>
      <c r="E16" s="248"/>
      <c r="F16" s="237"/>
      <c r="G16" s="240"/>
      <c r="H16" s="237"/>
      <c r="I16" s="241"/>
      <c r="J16" s="241"/>
      <c r="K16" s="256"/>
      <c r="L16" s="242"/>
      <c r="M16" s="255"/>
    </row>
    <row r="17" customFormat="false" ht="15" hidden="false" customHeight="false" outlineLevel="0" collapsed="false">
      <c r="A17" s="237" t="n">
        <v>15</v>
      </c>
      <c r="B17" s="237"/>
      <c r="C17" s="238"/>
      <c r="D17" s="248"/>
      <c r="E17" s="253"/>
      <c r="F17" s="237"/>
      <c r="G17" s="240"/>
      <c r="H17" s="237"/>
      <c r="I17" s="241"/>
      <c r="J17" s="241"/>
      <c r="K17" s="241"/>
      <c r="L17" s="242"/>
      <c r="M17" s="250"/>
    </row>
    <row r="18" customFormat="false" ht="15" hidden="false" customHeight="false" outlineLevel="0" collapsed="false">
      <c r="A18" s="237" t="n">
        <v>16</v>
      </c>
      <c r="B18" s="237"/>
      <c r="C18" s="238"/>
      <c r="D18" s="248"/>
      <c r="E18" s="253"/>
      <c r="F18" s="237"/>
      <c r="G18" s="240"/>
      <c r="H18" s="237"/>
      <c r="I18" s="241"/>
      <c r="J18" s="241"/>
      <c r="K18" s="241"/>
      <c r="L18" s="242"/>
      <c r="M18" s="250"/>
    </row>
    <row r="19" customFormat="false" ht="15" hidden="false" customHeight="false" outlineLevel="0" collapsed="false">
      <c r="A19" s="237" t="n">
        <v>17</v>
      </c>
      <c r="B19" s="237"/>
      <c r="C19" s="238"/>
      <c r="D19" s="248"/>
      <c r="E19" s="248"/>
      <c r="F19" s="237"/>
      <c r="G19" s="240"/>
      <c r="H19" s="237"/>
      <c r="I19" s="241"/>
      <c r="J19" s="241"/>
      <c r="K19" s="257"/>
      <c r="L19" s="242"/>
      <c r="M19" s="250"/>
    </row>
    <row r="20" customFormat="false" ht="15" hidden="false" customHeight="false" outlineLevel="0" collapsed="false">
      <c r="A20" s="237" t="n">
        <v>18</v>
      </c>
      <c r="B20" s="237"/>
      <c r="C20" s="238"/>
      <c r="D20" s="248"/>
      <c r="E20" s="248"/>
      <c r="F20" s="237"/>
      <c r="G20" s="240"/>
      <c r="H20" s="237"/>
      <c r="I20" s="241"/>
      <c r="J20" s="241"/>
      <c r="K20" s="257"/>
      <c r="L20" s="242"/>
      <c r="M20" s="250"/>
    </row>
    <row r="21" customFormat="false" ht="15" hidden="false" customHeight="false" outlineLevel="0" collapsed="false">
      <c r="A21" s="237" t="n">
        <v>19</v>
      </c>
      <c r="B21" s="237"/>
      <c r="C21" s="238"/>
      <c r="D21" s="248"/>
      <c r="E21" s="248"/>
      <c r="F21" s="237"/>
      <c r="G21" s="240"/>
      <c r="H21" s="237"/>
      <c r="I21" s="241"/>
      <c r="J21" s="241"/>
      <c r="K21" s="257"/>
      <c r="L21" s="242"/>
      <c r="M21" s="250"/>
    </row>
    <row r="22" customFormat="false" ht="15" hidden="false" customHeight="false" outlineLevel="0" collapsed="false">
      <c r="A22" s="241" t="n">
        <v>20</v>
      </c>
      <c r="B22" s="237"/>
      <c r="C22" s="238"/>
      <c r="D22" s="248"/>
      <c r="E22" s="248"/>
      <c r="F22" s="237"/>
      <c r="G22" s="240"/>
      <c r="H22" s="237"/>
      <c r="I22" s="241"/>
      <c r="J22" s="241"/>
      <c r="K22" s="258"/>
      <c r="L22" s="242"/>
      <c r="M22" s="250"/>
    </row>
    <row r="23" customFormat="false" ht="53.25" hidden="false" customHeight="true" outlineLevel="0" collapsed="false">
      <c r="A23" s="241" t="n">
        <v>21</v>
      </c>
      <c r="B23" s="237"/>
      <c r="C23" s="238"/>
      <c r="D23" s="248"/>
      <c r="E23" s="248"/>
      <c r="F23" s="237"/>
      <c r="G23" s="240"/>
      <c r="H23" s="237"/>
      <c r="I23" s="241"/>
      <c r="J23" s="241"/>
      <c r="K23" s="258"/>
      <c r="L23" s="242"/>
      <c r="M23" s="250"/>
    </row>
    <row r="24" customFormat="false" ht="15" hidden="false" customHeight="false" outlineLevel="0" collapsed="false">
      <c r="A24" s="237" t="n">
        <v>22</v>
      </c>
      <c r="B24" s="237"/>
      <c r="C24" s="238"/>
      <c r="D24" s="248"/>
      <c r="E24" s="248"/>
      <c r="F24" s="237"/>
      <c r="G24" s="240"/>
      <c r="H24" s="237"/>
      <c r="I24" s="241"/>
      <c r="J24" s="241"/>
      <c r="K24" s="259"/>
      <c r="L24" s="242"/>
      <c r="M24" s="250"/>
    </row>
    <row r="25" customFormat="false" ht="15" hidden="false" customHeight="false" outlineLevel="0" collapsed="false">
      <c r="A25" s="241" t="n">
        <v>23</v>
      </c>
      <c r="B25" s="237"/>
      <c r="C25" s="238"/>
      <c r="D25" s="248"/>
      <c r="E25" s="248"/>
      <c r="F25" s="237"/>
      <c r="G25" s="240"/>
      <c r="H25" s="237"/>
      <c r="I25" s="241"/>
      <c r="J25" s="241"/>
      <c r="K25" s="258"/>
      <c r="L25" s="242"/>
      <c r="M25" s="250"/>
    </row>
    <row r="26" customFormat="false" ht="15" hidden="false" customHeight="false" outlineLevel="0" collapsed="false">
      <c r="A26" s="237" t="n">
        <v>24</v>
      </c>
      <c r="B26" s="237"/>
      <c r="C26" s="238"/>
      <c r="D26" s="248"/>
      <c r="E26" s="248"/>
      <c r="F26" s="237"/>
      <c r="G26" s="240"/>
      <c r="H26" s="237"/>
      <c r="I26" s="241"/>
      <c r="J26" s="241"/>
      <c r="K26" s="260"/>
      <c r="L26" s="242"/>
      <c r="M26" s="255"/>
    </row>
    <row r="27" customFormat="false" ht="49.5" hidden="false" customHeight="true" outlineLevel="0" collapsed="false">
      <c r="A27" s="237" t="n">
        <v>25</v>
      </c>
      <c r="B27" s="237"/>
      <c r="C27" s="238"/>
      <c r="D27" s="248"/>
      <c r="E27" s="248"/>
      <c r="F27" s="237"/>
      <c r="G27" s="240"/>
      <c r="H27" s="237"/>
      <c r="I27" s="241"/>
      <c r="J27" s="241"/>
      <c r="K27" s="260"/>
      <c r="L27" s="242"/>
      <c r="M27" s="255"/>
    </row>
    <row r="28" customFormat="false" ht="15" hidden="false" customHeight="false" outlineLevel="0" collapsed="false">
      <c r="A28" s="241" t="n">
        <v>26</v>
      </c>
      <c r="B28" s="237"/>
      <c r="C28" s="238"/>
      <c r="D28" s="248"/>
      <c r="E28" s="248"/>
      <c r="F28" s="237"/>
      <c r="G28" s="240"/>
      <c r="H28" s="237"/>
      <c r="I28" s="241"/>
      <c r="J28" s="241"/>
      <c r="K28" s="258"/>
      <c r="L28" s="242"/>
      <c r="M28" s="255"/>
    </row>
    <row r="29" customFormat="false" ht="18.75" hidden="false" customHeight="true" outlineLevel="0" collapsed="false">
      <c r="A29" s="241" t="n">
        <v>27</v>
      </c>
      <c r="B29" s="237"/>
      <c r="C29" s="238"/>
      <c r="D29" s="248"/>
      <c r="E29" s="248"/>
      <c r="F29" s="237"/>
      <c r="G29" s="240"/>
      <c r="H29" s="237"/>
      <c r="I29" s="241"/>
      <c r="J29" s="241"/>
      <c r="K29" s="258"/>
      <c r="L29" s="242"/>
      <c r="M29" s="261"/>
    </row>
    <row r="30" customFormat="false" ht="15" hidden="false" customHeight="false" outlineLevel="0" collapsed="false">
      <c r="A30" s="237" t="n">
        <v>28</v>
      </c>
      <c r="B30" s="237"/>
      <c r="C30" s="238"/>
      <c r="D30" s="239"/>
      <c r="E30" s="239"/>
      <c r="F30" s="237"/>
      <c r="G30" s="240"/>
      <c r="H30" s="237"/>
      <c r="I30" s="241"/>
      <c r="J30" s="241"/>
      <c r="K30" s="258"/>
      <c r="L30" s="242"/>
      <c r="M30" s="261"/>
    </row>
    <row r="31" customFormat="false" ht="15" hidden="false" customHeight="false" outlineLevel="0" collapsed="false">
      <c r="A31" s="241" t="n">
        <v>29</v>
      </c>
      <c r="B31" s="237"/>
      <c r="C31" s="238"/>
      <c r="D31" s="248"/>
      <c r="E31" s="248"/>
      <c r="F31" s="237"/>
      <c r="G31" s="240"/>
      <c r="H31" s="237"/>
      <c r="I31" s="241"/>
      <c r="J31" s="241"/>
      <c r="K31" s="258"/>
      <c r="L31" s="242"/>
      <c r="M31" s="261"/>
    </row>
    <row r="32" customFormat="false" ht="15" hidden="false" customHeight="false" outlineLevel="0" collapsed="false">
      <c r="A32" s="241" t="n">
        <v>30</v>
      </c>
      <c r="B32" s="237"/>
      <c r="C32" s="238"/>
      <c r="D32" s="248"/>
      <c r="E32" s="248"/>
      <c r="F32" s="237"/>
      <c r="G32" s="240"/>
      <c r="H32" s="237"/>
      <c r="I32" s="241"/>
      <c r="J32" s="241"/>
      <c r="K32" s="258"/>
      <c r="L32" s="242"/>
      <c r="M32" s="261"/>
    </row>
    <row r="33" customFormat="false" ht="15" hidden="false" customHeight="false" outlineLevel="0" collapsed="false">
      <c r="A33" s="237" t="n">
        <v>31</v>
      </c>
      <c r="B33" s="237"/>
      <c r="C33" s="238"/>
      <c r="D33" s="248"/>
      <c r="E33" s="248"/>
      <c r="F33" s="237"/>
      <c r="G33" s="240"/>
      <c r="H33" s="237"/>
      <c r="I33" s="241"/>
      <c r="J33" s="241"/>
      <c r="K33" s="258"/>
      <c r="L33" s="242"/>
      <c r="M33" s="262"/>
    </row>
    <row r="34" customFormat="false" ht="34.5" hidden="false" customHeight="true" outlineLevel="0" collapsed="false">
      <c r="A34" s="241" t="n">
        <v>32</v>
      </c>
      <c r="B34" s="237"/>
      <c r="C34" s="238"/>
      <c r="D34" s="248"/>
      <c r="E34" s="248"/>
      <c r="F34" s="237"/>
      <c r="G34" s="240"/>
      <c r="H34" s="237"/>
      <c r="I34" s="241"/>
      <c r="J34" s="241"/>
      <c r="K34" s="258"/>
      <c r="L34" s="242"/>
      <c r="M34" s="262"/>
    </row>
    <row r="35" customFormat="false" ht="48.75" hidden="false" customHeight="true" outlineLevel="0" collapsed="false">
      <c r="A35" s="241" t="n">
        <v>33</v>
      </c>
      <c r="B35" s="237"/>
      <c r="C35" s="238"/>
      <c r="D35" s="248"/>
      <c r="E35" s="248"/>
      <c r="F35" s="237"/>
      <c r="G35" s="240"/>
      <c r="H35" s="237"/>
      <c r="I35" s="241"/>
      <c r="J35" s="241"/>
      <c r="K35" s="258"/>
      <c r="L35" s="242"/>
      <c r="M35" s="262"/>
    </row>
    <row r="36" customFormat="false" ht="15" hidden="false" customHeight="false" outlineLevel="0" collapsed="false">
      <c r="A36" s="237" t="n">
        <v>34</v>
      </c>
      <c r="B36" s="263"/>
      <c r="C36" s="264"/>
      <c r="D36" s="239"/>
      <c r="E36" s="239"/>
      <c r="F36" s="237"/>
      <c r="G36" s="265"/>
      <c r="H36" s="241"/>
      <c r="I36" s="241"/>
      <c r="J36" s="241"/>
      <c r="K36" s="258"/>
      <c r="L36" s="237"/>
      <c r="M36" s="262"/>
    </row>
    <row r="37" customFormat="false" ht="15" hidden="false" customHeight="false" outlineLevel="0" collapsed="false">
      <c r="A37" s="241" t="n">
        <v>35</v>
      </c>
      <c r="B37" s="263"/>
      <c r="C37" s="264"/>
      <c r="D37" s="239"/>
      <c r="E37" s="239"/>
      <c r="F37" s="237"/>
      <c r="G37" s="265"/>
      <c r="H37" s="241"/>
      <c r="I37" s="241"/>
      <c r="J37" s="241"/>
      <c r="K37" s="258"/>
      <c r="L37" s="237"/>
      <c r="M37" s="262"/>
    </row>
    <row r="38" customFormat="false" ht="15" hidden="false" customHeight="false" outlineLevel="0" collapsed="false">
      <c r="A38" s="241" t="n">
        <v>36</v>
      </c>
      <c r="B38" s="263"/>
      <c r="C38" s="264"/>
      <c r="D38" s="239"/>
      <c r="E38" s="239"/>
      <c r="F38" s="237"/>
      <c r="G38" s="265"/>
      <c r="H38" s="241"/>
      <c r="I38" s="241"/>
      <c r="J38" s="241"/>
      <c r="K38" s="258"/>
      <c r="L38" s="237"/>
      <c r="M38" s="262"/>
    </row>
    <row r="39" customFormat="false" ht="15" hidden="false" customHeight="false" outlineLevel="0" collapsed="false">
      <c r="A39" s="237" t="n">
        <v>37</v>
      </c>
      <c r="B39" s="263"/>
      <c r="C39" s="264"/>
      <c r="D39" s="239"/>
      <c r="E39" s="239"/>
      <c r="F39" s="237"/>
      <c r="G39" s="265"/>
      <c r="H39" s="241"/>
      <c r="I39" s="241"/>
      <c r="J39" s="241"/>
      <c r="K39" s="258"/>
      <c r="L39" s="237"/>
      <c r="M39" s="262"/>
    </row>
    <row r="40" customFormat="false" ht="15" hidden="false" customHeight="false" outlineLevel="0" collapsed="false">
      <c r="A40" s="241" t="n">
        <v>38</v>
      </c>
      <c r="B40" s="263"/>
      <c r="C40" s="264"/>
      <c r="D40" s="239"/>
      <c r="E40" s="239"/>
      <c r="F40" s="237"/>
      <c r="G40" s="265"/>
      <c r="H40" s="241"/>
      <c r="I40" s="241"/>
      <c r="J40" s="241"/>
      <c r="K40" s="258"/>
      <c r="L40" s="237"/>
      <c r="M40" s="262"/>
    </row>
    <row r="41" customFormat="false" ht="15" hidden="false" customHeight="false" outlineLevel="0" collapsed="false">
      <c r="A41" s="241" t="n">
        <v>39</v>
      </c>
      <c r="B41" s="263"/>
      <c r="C41" s="264"/>
      <c r="D41" s="239"/>
      <c r="E41" s="239"/>
      <c r="F41" s="237"/>
      <c r="G41" s="265"/>
      <c r="H41" s="241"/>
      <c r="I41" s="241"/>
      <c r="J41" s="241"/>
      <c r="K41" s="258"/>
      <c r="L41" s="237"/>
      <c r="M41" s="266"/>
    </row>
    <row r="42" customFormat="false" ht="15" hidden="false" customHeight="false" outlineLevel="0" collapsed="false">
      <c r="A42" s="237" t="n">
        <v>40</v>
      </c>
      <c r="B42" s="263"/>
      <c r="C42" s="264"/>
      <c r="D42" s="239"/>
      <c r="E42" s="239"/>
      <c r="F42" s="237"/>
      <c r="G42" s="265"/>
      <c r="H42" s="241"/>
      <c r="I42" s="241"/>
      <c r="J42" s="241"/>
      <c r="K42" s="258"/>
      <c r="L42" s="237"/>
      <c r="M42" s="266"/>
    </row>
    <row r="43" customFormat="false" ht="15" hidden="false" customHeight="false" outlineLevel="0" collapsed="false">
      <c r="A43" s="241" t="n">
        <v>41</v>
      </c>
      <c r="B43" s="263"/>
      <c r="C43" s="264"/>
      <c r="D43" s="239"/>
      <c r="E43" s="239"/>
      <c r="F43" s="237"/>
      <c r="G43" s="265"/>
      <c r="H43" s="241"/>
      <c r="I43" s="241"/>
      <c r="J43" s="241"/>
      <c r="K43" s="258"/>
      <c r="L43" s="237"/>
      <c r="M43" s="262"/>
    </row>
    <row r="44" customFormat="false" ht="15" hidden="false" customHeight="false" outlineLevel="0" collapsed="false">
      <c r="A44" s="241" t="n">
        <v>42</v>
      </c>
      <c r="B44" s="263"/>
      <c r="C44" s="264"/>
      <c r="D44" s="239"/>
      <c r="E44" s="239"/>
      <c r="F44" s="237"/>
      <c r="G44" s="265"/>
      <c r="H44" s="241"/>
      <c r="I44" s="241"/>
      <c r="J44" s="241"/>
      <c r="K44" s="258"/>
      <c r="L44" s="237"/>
      <c r="M44" s="262"/>
    </row>
    <row r="45" customFormat="false" ht="15" hidden="false" customHeight="false" outlineLevel="0" collapsed="false">
      <c r="A45" s="237" t="n">
        <v>43</v>
      </c>
      <c r="B45" s="263"/>
      <c r="C45" s="264"/>
      <c r="D45" s="239"/>
      <c r="E45" s="239"/>
      <c r="F45" s="237"/>
      <c r="G45" s="265"/>
      <c r="H45" s="241"/>
      <c r="I45" s="241"/>
      <c r="J45" s="241"/>
      <c r="K45" s="258"/>
      <c r="L45" s="237"/>
      <c r="M45" s="262"/>
    </row>
    <row r="46" customFormat="false" ht="15" hidden="false" customHeight="false" outlineLevel="0" collapsed="false">
      <c r="A46" s="241" t="n">
        <v>44</v>
      </c>
      <c r="B46" s="241"/>
      <c r="C46" s="264"/>
      <c r="D46" s="239"/>
      <c r="E46" s="239"/>
      <c r="F46" s="237"/>
      <c r="G46" s="265"/>
      <c r="H46" s="241"/>
      <c r="I46" s="241"/>
      <c r="J46" s="241"/>
      <c r="K46" s="258"/>
      <c r="L46" s="237"/>
      <c r="M46" s="262"/>
    </row>
    <row r="47" customFormat="false" ht="15" hidden="false" customHeight="false" outlineLevel="0" collapsed="false">
      <c r="A47" s="267"/>
      <c r="B47" s="268"/>
      <c r="C47" s="269"/>
      <c r="D47" s="270"/>
      <c r="E47" s="270"/>
      <c r="F47" s="271"/>
      <c r="G47" s="271"/>
      <c r="H47" s="272"/>
      <c r="I47" s="271"/>
      <c r="J47" s="267"/>
      <c r="K47" s="273"/>
      <c r="L47" s="274" t="s">
        <v>191</v>
      </c>
      <c r="M47" s="275" t="n">
        <f aca="false">SUM(M3:M43)</f>
        <v>0</v>
      </c>
    </row>
    <row r="48" customFormat="false" ht="15" hidden="false" customHeight="false" outlineLevel="0" collapsed="false">
      <c r="A48" s="267"/>
      <c r="B48" s="268"/>
      <c r="C48" s="269"/>
      <c r="D48" s="270"/>
      <c r="E48" s="270"/>
      <c r="F48" s="271"/>
      <c r="G48" s="271"/>
      <c r="H48" s="272"/>
      <c r="I48" s="271"/>
      <c r="J48" s="267"/>
      <c r="K48" s="273"/>
      <c r="L48" s="276"/>
      <c r="M48" s="277"/>
    </row>
    <row r="49" customFormat="false" ht="15" hidden="false" customHeight="false" outlineLevel="0" collapsed="false">
      <c r="K49" s="278" t="s">
        <v>192</v>
      </c>
      <c r="L49" s="278"/>
      <c r="M49" s="278"/>
    </row>
    <row r="50" customFormat="false" ht="15" hidden="false" customHeight="false" outlineLevel="0" collapsed="false">
      <c r="K50" s="279" t="s">
        <v>193</v>
      </c>
      <c r="L50" s="280" t="s">
        <v>194</v>
      </c>
      <c r="M50" s="281" t="n">
        <f aca="false">SUMIFS($M$3:$M$46,$J$3:$J$46,L50)</f>
        <v>0</v>
      </c>
    </row>
    <row r="51" customFormat="false" ht="15" hidden="false" customHeight="false" outlineLevel="0" collapsed="false">
      <c r="K51" s="279"/>
      <c r="L51" s="280" t="s">
        <v>195</v>
      </c>
      <c r="M51" s="281" t="n">
        <f aca="false">SUMIFS($M$3:$M$46,$J$3:$J$46,L51)</f>
        <v>0</v>
      </c>
    </row>
    <row r="52" customFormat="false" ht="15" hidden="false" customHeight="false" outlineLevel="0" collapsed="false">
      <c r="K52" s="279"/>
      <c r="L52" s="280" t="s">
        <v>196</v>
      </c>
      <c r="M52" s="281" t="n">
        <f aca="false">SUMIFS($M$3:$M$46,$J$3:$J$46,L52)</f>
        <v>0</v>
      </c>
    </row>
    <row r="53" customFormat="false" ht="15" hidden="false" customHeight="false" outlineLevel="0" collapsed="false">
      <c r="K53" s="279"/>
      <c r="L53" s="280" t="s">
        <v>197</v>
      </c>
      <c r="M53" s="281" t="n">
        <f aca="false">SUMIFS($M$3:$M$46,$J$3:$J$46,L53)</f>
        <v>0</v>
      </c>
    </row>
    <row r="54" customFormat="false" ht="15" hidden="false" customHeight="false" outlineLevel="0" collapsed="false">
      <c r="K54" s="279"/>
      <c r="L54" s="280" t="s">
        <v>198</v>
      </c>
      <c r="M54" s="281" t="n">
        <f aca="false">SUMIFS($M$3:$M$46,$J$3:$J$46,L54)</f>
        <v>0</v>
      </c>
    </row>
    <row r="55" customFormat="false" ht="15" hidden="false" customHeight="false" outlineLevel="0" collapsed="false">
      <c r="K55" s="279"/>
      <c r="L55" s="282" t="s">
        <v>199</v>
      </c>
      <c r="M55" s="281" t="n">
        <f aca="false">SUMIFS($M$3:$M$46,$J$3:$J$46,L55)</f>
        <v>0</v>
      </c>
    </row>
    <row r="56" customFormat="false" ht="15" hidden="false" customHeight="false" outlineLevel="0" collapsed="false">
      <c r="K56" s="279"/>
      <c r="L56" s="280" t="s">
        <v>200</v>
      </c>
      <c r="M56" s="281" t="n">
        <f aca="false">SUMIFS($M$3:$M$46,$J$3:$J$46,L56)</f>
        <v>0</v>
      </c>
    </row>
    <row r="57" customFormat="false" ht="15" hidden="false" customHeight="false" outlineLevel="0" collapsed="false">
      <c r="K57" s="279"/>
      <c r="L57" s="280" t="s">
        <v>201</v>
      </c>
      <c r="M57" s="281" t="n">
        <f aca="false">SUMIFS($M$3:$M$46,$J$3:$J$46,L57)</f>
        <v>0</v>
      </c>
    </row>
    <row r="58" customFormat="false" ht="15" hidden="false" customHeight="false" outlineLevel="0" collapsed="false">
      <c r="K58" s="279"/>
      <c r="L58" s="280" t="s">
        <v>202</v>
      </c>
      <c r="M58" s="281" t="n">
        <f aca="false">SUMIFS($M$3:$M$46,$J$3:$J$46,L58)</f>
        <v>0</v>
      </c>
    </row>
    <row r="59" customFormat="false" ht="15" hidden="false" customHeight="false" outlineLevel="0" collapsed="false">
      <c r="L59" s="280" t="s">
        <v>203</v>
      </c>
      <c r="M59" s="281" t="n">
        <f aca="false">SUM(M50:M58)</f>
        <v>0</v>
      </c>
    </row>
    <row r="61" customFormat="false" ht="15" hidden="false" customHeight="false" outlineLevel="0" collapsed="false">
      <c r="K61" s="227" t="s">
        <v>204</v>
      </c>
      <c r="L61" s="227"/>
      <c r="M61" s="227"/>
    </row>
    <row r="62" customFormat="false" ht="15" hidden="false" customHeight="true" outlineLevel="0" collapsed="false">
      <c r="K62" s="283" t="s">
        <v>205</v>
      </c>
      <c r="L62" s="284" t="s">
        <v>206</v>
      </c>
      <c r="M62" s="281" t="n">
        <f aca="false">SUMIFS($M$3:$M$46,$L$3:$L$46,L62)</f>
        <v>0</v>
      </c>
    </row>
    <row r="63" customFormat="false" ht="15" hidden="false" customHeight="false" outlineLevel="0" collapsed="false">
      <c r="K63" s="283"/>
      <c r="L63" s="284" t="s">
        <v>207</v>
      </c>
      <c r="M63" s="281" t="n">
        <f aca="false">SUMIFS($M$3:$M$46,$L$3:$L$46,L63)</f>
        <v>0</v>
      </c>
    </row>
    <row r="64" customFormat="false" ht="15" hidden="false" customHeight="false" outlineLevel="0" collapsed="false">
      <c r="K64" s="283"/>
      <c r="L64" s="284" t="s">
        <v>208</v>
      </c>
      <c r="M64" s="281" t="n">
        <f aca="false">SUMIFS($M$3:$M$46,$L$3:$L$46,L64)</f>
        <v>0</v>
      </c>
    </row>
    <row r="65" customFormat="false" ht="15" hidden="false" customHeight="false" outlineLevel="0" collapsed="false">
      <c r="K65" s="283"/>
      <c r="L65" s="284" t="s">
        <v>209</v>
      </c>
      <c r="M65" s="281" t="n">
        <f aca="false">SUMIFS($M$3:$M$46,$L$3:$L$46,L65)</f>
        <v>0</v>
      </c>
    </row>
    <row r="66" customFormat="false" ht="15" hidden="false" customHeight="false" outlineLevel="0" collapsed="false">
      <c r="K66" s="283"/>
      <c r="L66" s="284" t="s">
        <v>209</v>
      </c>
      <c r="M66" s="281" t="n">
        <f aca="false">SUMIFS($M$3:$M$46,$L$3:$L$46,L66)</f>
        <v>0</v>
      </c>
    </row>
    <row r="67" customFormat="false" ht="15" hidden="false" customHeight="false" outlineLevel="0" collapsed="false">
      <c r="K67" s="283"/>
      <c r="L67" s="284" t="s">
        <v>210</v>
      </c>
      <c r="M67" s="281" t="n">
        <f aca="false">SUMIFS($M$3:$M$46,$L$3:$L$46,L67)</f>
        <v>0</v>
      </c>
    </row>
    <row r="68" customFormat="false" ht="15" hidden="false" customHeight="false" outlineLevel="0" collapsed="false">
      <c r="K68" s="283"/>
      <c r="L68" s="284" t="s">
        <v>211</v>
      </c>
      <c r="M68" s="281" t="n">
        <f aca="false">SUMIFS($M$3:$M$46,$L$3:$L$46,L68)</f>
        <v>0</v>
      </c>
    </row>
    <row r="69" customFormat="false" ht="15" hidden="false" customHeight="false" outlineLevel="0" collapsed="false">
      <c r="K69" s="283"/>
      <c r="L69" s="284" t="s">
        <v>212</v>
      </c>
      <c r="M69" s="281" t="n">
        <f aca="false">SUMIFS($M$3:$M$46,$L$3:$L$46,L69)</f>
        <v>0</v>
      </c>
    </row>
    <row r="70" customFormat="false" ht="15" hidden="false" customHeight="false" outlineLevel="0" collapsed="false">
      <c r="K70" s="283"/>
      <c r="L70" s="284" t="s">
        <v>213</v>
      </c>
      <c r="M70" s="281" t="n">
        <f aca="false">SUMIFS($M$3:$M$46,$L$3:$L$46,L70)</f>
        <v>0</v>
      </c>
    </row>
    <row r="71" customFormat="false" ht="15" hidden="false" customHeight="false" outlineLevel="0" collapsed="false">
      <c r="K71" s="283"/>
      <c r="L71" s="284" t="s">
        <v>214</v>
      </c>
      <c r="M71" s="281" t="n">
        <f aca="false">SUMIFS($M$3:$M$46,$L$3:$L$46,L71)</f>
        <v>0</v>
      </c>
    </row>
    <row r="72" customFormat="false" ht="15" hidden="false" customHeight="false" outlineLevel="0" collapsed="false">
      <c r="K72" s="283"/>
      <c r="L72" s="284" t="s">
        <v>215</v>
      </c>
      <c r="M72" s="281" t="n">
        <f aca="false">SUMIFS($M$3:$M$46,$L$3:$L$46,L72)</f>
        <v>0</v>
      </c>
    </row>
    <row r="73" customFormat="false" ht="15" hidden="false" customHeight="false" outlineLevel="0" collapsed="false">
      <c r="K73" s="283"/>
      <c r="L73" s="284" t="s">
        <v>216</v>
      </c>
      <c r="M73" s="281" t="n">
        <f aca="false">SUMIFS($M$3:$M$46,$L$3:$L$46,L73)</f>
        <v>0</v>
      </c>
    </row>
    <row r="74" customFormat="false" ht="15" hidden="false" customHeight="false" outlineLevel="0" collapsed="false">
      <c r="K74" s="283"/>
      <c r="L74" s="284" t="s">
        <v>217</v>
      </c>
      <c r="M74" s="281" t="n">
        <f aca="false">SUMIFS($M$3:$M$46,$L$3:$L$46,L74)</f>
        <v>0</v>
      </c>
    </row>
    <row r="75" customFormat="false" ht="15" hidden="false" customHeight="false" outlineLevel="0" collapsed="false">
      <c r="L75" s="280" t="s">
        <v>203</v>
      </c>
      <c r="M75" s="281" t="n">
        <f aca="false">SUM(M62:M74)</f>
        <v>0</v>
      </c>
    </row>
  </sheetData>
  <autoFilter ref="A2:M2"/>
  <mergeCells count="4">
    <mergeCell ref="K49:M49"/>
    <mergeCell ref="K50:K58"/>
    <mergeCell ref="K61:M61"/>
    <mergeCell ref="K62:K74"/>
  </mergeCells>
  <conditionalFormatting sqref="I19:J19">
    <cfRule type="uniqueValues" priority="2" aboveAverage="0" equalAverage="0" bottom="0" percent="0" rank="0" text="" dxfId="18"/>
  </conditionalFormatting>
  <dataValidations count="4">
    <dataValidation allowBlank="true" error="не соотвествует классификации в СРБ" errorStyle="warning" errorTitle="не соотвествует классификации" operator="between" promptTitle="выбери из списка" showDropDown="false" showErrorMessage="true" showInputMessage="true" sqref="J46" type="list">
      <formula1>$L$50:$L$56</formula1>
      <formula2>0</formula2>
    </dataValidation>
    <dataValidation allowBlank="true" error="выбрать из выпадающего списка ПО " errorStyle="stop" errorTitle="ответственная сторона за НПВ" operator="between" promptTitle="Выбрать из выпадающего списка" showDropDown="false" showErrorMessage="true" showInputMessage="true" sqref="L36:L46" type="list">
      <formula1>$L$62:$L$74</formula1>
      <formula2>0</formula2>
    </dataValidation>
    <dataValidation allowBlank="true" error="не соотвествует классификации в СРБ" errorStyle="warning" errorTitle="не соотвествует классификации" operator="between" promptTitle="выбери из списка" showDropDown="false" showErrorMessage="true" showInputMessage="true" sqref="J47:J48" type="list">
      <formula1>#ref!</formula1>
      <formula2>0</formula2>
    </dataValidation>
    <dataValidation allowBlank="true" error="не соотвествует классификации в СРБ" errorStyle="warning" errorTitle="не соотвествует классификации" operator="between" promptTitle="выбери из списка" showDropDown="false" showErrorMessage="true" showInputMessage="true" sqref="J36:J45" type="list">
      <formula1>$L$50:$L$58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6.42"/>
    <col collapsed="false" customWidth="true" hidden="false" outlineLevel="0" max="3" min="3" style="0" width="7.86"/>
    <col collapsed="false" customWidth="true" hidden="false" outlineLevel="0" max="4" min="4" style="0" width="39.29"/>
    <col collapsed="false" customWidth="true" hidden="false" outlineLevel="0" max="6" min="5" style="0" width="20.71"/>
  </cols>
  <sheetData>
    <row r="2" customFormat="false" ht="15" hidden="false" customHeight="false" outlineLevel="0" collapsed="false">
      <c r="B2" s="285" t="s">
        <v>218</v>
      </c>
      <c r="C2" s="285" t="s">
        <v>219</v>
      </c>
      <c r="D2" s="285"/>
    </row>
    <row r="3" customFormat="false" ht="15" hidden="false" customHeight="false" outlineLevel="0" collapsed="false">
      <c r="B3" s="286" t="s">
        <v>220</v>
      </c>
      <c r="C3" s="243" t="n">
        <v>1.5</v>
      </c>
      <c r="D3" s="286"/>
    </row>
    <row r="4" customFormat="false" ht="15" hidden="false" customHeight="true" outlineLevel="0" collapsed="false">
      <c r="B4" s="286" t="s">
        <v>221</v>
      </c>
      <c r="C4" s="243" t="n">
        <v>0.33</v>
      </c>
      <c r="D4" s="286"/>
    </row>
    <row r="5" customFormat="false" ht="15" hidden="false" customHeight="false" outlineLevel="0" collapsed="false">
      <c r="B5" s="286"/>
      <c r="C5" s="243"/>
      <c r="D5" s="286"/>
    </row>
    <row r="6" customFormat="false" ht="30" hidden="false" customHeight="false" outlineLevel="0" collapsed="false">
      <c r="B6" s="286" t="s">
        <v>222</v>
      </c>
      <c r="C6" s="243" t="n">
        <v>0.085</v>
      </c>
      <c r="D6" s="286" t="s">
        <v>223</v>
      </c>
    </row>
    <row r="7" customFormat="false" ht="30" hidden="false" customHeight="false" outlineLevel="0" collapsed="false">
      <c r="B7" s="286" t="s">
        <v>224</v>
      </c>
      <c r="C7" s="243" t="n">
        <v>0.08</v>
      </c>
      <c r="D7" s="286" t="s">
        <v>223</v>
      </c>
    </row>
    <row r="8" customFormat="false" ht="15" hidden="false" customHeight="true" outlineLevel="0" collapsed="false">
      <c r="B8" s="286" t="s">
        <v>225</v>
      </c>
      <c r="C8" s="243" t="n">
        <v>0.088</v>
      </c>
      <c r="D8" s="286"/>
    </row>
    <row r="9" customFormat="false" ht="15" hidden="false" customHeight="false" outlineLevel="0" collapsed="false">
      <c r="B9" s="286"/>
      <c r="C9" s="243"/>
      <c r="D9" s="286"/>
    </row>
    <row r="10" customFormat="false" ht="15" hidden="false" customHeight="true" outlineLevel="0" collapsed="false">
      <c r="B10" s="286" t="s">
        <v>226</v>
      </c>
      <c r="C10" s="243" t="n">
        <v>0.089</v>
      </c>
      <c r="D10" s="286" t="s">
        <v>227</v>
      </c>
    </row>
    <row r="11" customFormat="false" ht="15" hidden="false" customHeight="false" outlineLevel="0" collapsed="false">
      <c r="B11" s="286"/>
      <c r="C11" s="243"/>
      <c r="D11" s="286"/>
    </row>
    <row r="12" customFormat="false" ht="15" hidden="false" customHeight="true" outlineLevel="0" collapsed="false">
      <c r="B12" s="286" t="s">
        <v>228</v>
      </c>
      <c r="C12" s="243" t="n">
        <v>0.084</v>
      </c>
      <c r="D12" s="286" t="s">
        <v>227</v>
      </c>
    </row>
    <row r="13" customFormat="false" ht="15" hidden="false" customHeight="false" outlineLevel="0" collapsed="false">
      <c r="B13" s="286"/>
      <c r="C13" s="243"/>
      <c r="D13" s="286"/>
    </row>
    <row r="14" customFormat="false" ht="15" hidden="false" customHeight="true" outlineLevel="0" collapsed="false">
      <c r="B14" s="286" t="s">
        <v>229</v>
      </c>
      <c r="C14" s="243" t="n">
        <v>1.92</v>
      </c>
      <c r="D14" s="286"/>
    </row>
    <row r="15" customFormat="false" ht="15" hidden="false" customHeight="false" outlineLevel="0" collapsed="false">
      <c r="B15" s="286"/>
      <c r="C15" s="243"/>
      <c r="D15" s="286"/>
    </row>
    <row r="16" customFormat="false" ht="15" hidden="false" customHeight="true" outlineLevel="0" collapsed="false">
      <c r="B16" s="286" t="s">
        <v>230</v>
      </c>
      <c r="C16" s="243" t="n">
        <v>1.15</v>
      </c>
      <c r="D16" s="286" t="s">
        <v>231</v>
      </c>
    </row>
    <row r="17" customFormat="false" ht="15" hidden="false" customHeight="false" outlineLevel="0" collapsed="false">
      <c r="B17" s="286"/>
      <c r="C17" s="243"/>
      <c r="D17" s="286"/>
    </row>
    <row r="18" customFormat="false" ht="15" hidden="false" customHeight="true" outlineLevel="0" collapsed="false">
      <c r="B18" s="286" t="s">
        <v>232</v>
      </c>
      <c r="C18" s="243" t="n">
        <v>1.5</v>
      </c>
      <c r="D18" s="286"/>
    </row>
    <row r="19" customFormat="false" ht="15" hidden="false" customHeight="false" outlineLevel="0" collapsed="false">
      <c r="B19" s="286"/>
      <c r="C19" s="243"/>
      <c r="D19" s="286"/>
    </row>
    <row r="20" customFormat="false" ht="30" hidden="false" customHeight="true" outlineLevel="0" collapsed="false">
      <c r="B20" s="286" t="s">
        <v>233</v>
      </c>
      <c r="C20" s="243" t="n">
        <v>0.075</v>
      </c>
      <c r="D20" s="286" t="s">
        <v>234</v>
      </c>
    </row>
    <row r="21" customFormat="false" ht="30" hidden="false" customHeight="false" outlineLevel="0" collapsed="false">
      <c r="B21" s="286" t="s">
        <v>235</v>
      </c>
      <c r="C21" s="243" t="n">
        <v>0.075</v>
      </c>
      <c r="D21" s="286"/>
    </row>
    <row r="22" customFormat="false" ht="30" hidden="false" customHeight="false" outlineLevel="0" collapsed="false">
      <c r="B22" s="286" t="s">
        <v>236</v>
      </c>
      <c r="C22" s="243" t="n">
        <v>0.075</v>
      </c>
      <c r="D22" s="286"/>
    </row>
    <row r="23" customFormat="false" ht="15" hidden="false" customHeight="true" outlineLevel="0" collapsed="false">
      <c r="B23" s="286" t="s">
        <v>237</v>
      </c>
      <c r="C23" s="243" t="n">
        <v>0.07</v>
      </c>
      <c r="D23" s="286"/>
    </row>
    <row r="24" customFormat="false" ht="15" hidden="false" customHeight="false" outlineLevel="0" collapsed="false">
      <c r="B24" s="286"/>
      <c r="C24" s="243"/>
      <c r="D24" s="286"/>
    </row>
    <row r="25" customFormat="false" ht="15" hidden="false" customHeight="true" outlineLevel="0" collapsed="false">
      <c r="B25" s="286" t="s">
        <v>238</v>
      </c>
      <c r="C25" s="243" t="n">
        <v>0.093</v>
      </c>
      <c r="D25" s="286" t="s">
        <v>239</v>
      </c>
    </row>
    <row r="26" customFormat="false" ht="15" hidden="false" customHeight="false" outlineLevel="0" collapsed="false">
      <c r="B26" s="286"/>
      <c r="C26" s="243"/>
      <c r="D26" s="286"/>
    </row>
    <row r="27" customFormat="false" ht="15" hidden="false" customHeight="true" outlineLevel="0" collapsed="false">
      <c r="B27" s="286" t="s">
        <v>240</v>
      </c>
      <c r="C27" s="243" t="n">
        <v>0.065</v>
      </c>
      <c r="D27" s="286" t="s">
        <v>241</v>
      </c>
    </row>
    <row r="28" customFormat="false" ht="15" hidden="false" customHeight="false" outlineLevel="0" collapsed="false">
      <c r="B28" s="286" t="s">
        <v>242</v>
      </c>
      <c r="C28" s="243" t="n">
        <v>0.065</v>
      </c>
      <c r="D28" s="286"/>
    </row>
    <row r="29" customFormat="false" ht="15" hidden="false" customHeight="false" outlineLevel="0" collapsed="false">
      <c r="B29" s="286" t="s">
        <v>243</v>
      </c>
      <c r="C29" s="243" t="n">
        <v>0.065</v>
      </c>
      <c r="D29" s="286"/>
    </row>
    <row r="30" customFormat="false" ht="15" hidden="false" customHeight="false" outlineLevel="0" collapsed="false">
      <c r="B30" s="287"/>
      <c r="C30" s="288"/>
      <c r="D30" s="287"/>
    </row>
    <row r="31" customFormat="false" ht="15" hidden="false" customHeight="false" outlineLevel="0" collapsed="false">
      <c r="B31" s="287"/>
      <c r="C31" s="288"/>
      <c r="D31" s="287"/>
    </row>
    <row r="32" customFormat="false" ht="15" hidden="false" customHeight="false" outlineLevel="0" collapsed="false">
      <c r="B32" s="287"/>
      <c r="C32" s="288"/>
      <c r="D32" s="287"/>
    </row>
    <row r="33" customFormat="false" ht="15" hidden="false" customHeight="false" outlineLevel="0" collapsed="false">
      <c r="B33" s="287"/>
      <c r="C33" s="288"/>
      <c r="D33" s="287"/>
    </row>
    <row r="34" customFormat="false" ht="15" hidden="false" customHeight="false" outlineLevel="0" collapsed="false">
      <c r="B34" s="287"/>
      <c r="C34" s="288"/>
      <c r="D34" s="287"/>
    </row>
    <row r="35" customFormat="false" ht="15" hidden="false" customHeight="false" outlineLevel="0" collapsed="false">
      <c r="B35" s="287"/>
      <c r="C35" s="288"/>
      <c r="D35" s="287"/>
    </row>
    <row r="36" customFormat="false" ht="15" hidden="false" customHeight="false" outlineLevel="0" collapsed="false">
      <c r="B36" s="287"/>
      <c r="C36" s="288"/>
      <c r="D36" s="287"/>
    </row>
    <row r="37" customFormat="false" ht="15" hidden="false" customHeight="false" outlineLevel="0" collapsed="false">
      <c r="B37" s="287"/>
      <c r="C37" s="288"/>
      <c r="D37" s="287"/>
    </row>
    <row r="38" customFormat="false" ht="15" hidden="false" customHeight="false" outlineLevel="0" collapsed="false">
      <c r="B38" s="287"/>
      <c r="C38" s="288"/>
      <c r="D38" s="287"/>
    </row>
    <row r="39" customFormat="false" ht="15" hidden="false" customHeight="false" outlineLevel="0" collapsed="false">
      <c r="B39" s="287"/>
      <c r="C39" s="288"/>
      <c r="D39" s="287"/>
    </row>
    <row r="40" customFormat="false" ht="15" hidden="false" customHeight="false" outlineLevel="0" collapsed="false">
      <c r="B40" s="287"/>
      <c r="C40" s="288"/>
      <c r="D40" s="287"/>
    </row>
    <row r="41" customFormat="false" ht="15" hidden="false" customHeight="false" outlineLevel="0" collapsed="false">
      <c r="B41" s="287"/>
      <c r="C41" s="288"/>
      <c r="D41" s="287"/>
    </row>
    <row r="42" customFormat="false" ht="15" hidden="false" customHeight="false" outlineLevel="0" collapsed="false">
      <c r="B42" s="287"/>
      <c r="C42" s="288"/>
      <c r="D42" s="287"/>
    </row>
    <row r="43" customFormat="false" ht="15" hidden="false" customHeight="false" outlineLevel="0" collapsed="false">
      <c r="B43" s="287"/>
      <c r="C43" s="288"/>
      <c r="D43" s="287"/>
    </row>
    <row r="44" customFormat="false" ht="15" hidden="false" customHeight="false" outlineLevel="0" collapsed="false">
      <c r="B44" s="287"/>
      <c r="C44" s="288"/>
      <c r="D44" s="287"/>
    </row>
    <row r="45" customFormat="false" ht="15" hidden="false" customHeight="false" outlineLevel="0" collapsed="false">
      <c r="B45" s="287"/>
      <c r="C45" s="288"/>
      <c r="D45" s="287"/>
    </row>
    <row r="46" customFormat="false" ht="15" hidden="false" customHeight="false" outlineLevel="0" collapsed="false">
      <c r="B46" s="287"/>
      <c r="C46" s="288"/>
      <c r="D46" s="287"/>
    </row>
    <row r="47" customFormat="false" ht="15" hidden="false" customHeight="false" outlineLevel="0" collapsed="false">
      <c r="B47" s="287"/>
      <c r="C47" s="288"/>
      <c r="D47" s="287"/>
    </row>
    <row r="48" customFormat="false" ht="15" hidden="false" customHeight="false" outlineLevel="0" collapsed="false">
      <c r="B48" s="287"/>
      <c r="C48" s="288"/>
      <c r="D48" s="287"/>
    </row>
    <row r="49" customFormat="false" ht="15" hidden="false" customHeight="false" outlineLevel="0" collapsed="false">
      <c r="B49" s="287"/>
      <c r="C49" s="288"/>
      <c r="D49" s="287"/>
    </row>
    <row r="50" customFormat="false" ht="15" hidden="false" customHeight="false" outlineLevel="0" collapsed="false">
      <c r="B50" s="287"/>
      <c r="C50" s="288"/>
      <c r="D50" s="287"/>
    </row>
    <row r="51" customFormat="false" ht="15" hidden="false" customHeight="false" outlineLevel="0" collapsed="false">
      <c r="B51" s="287"/>
      <c r="C51" s="288"/>
      <c r="D51" s="287"/>
    </row>
    <row r="52" customFormat="false" ht="15" hidden="false" customHeight="false" outlineLevel="0" collapsed="false">
      <c r="B52" s="287"/>
      <c r="C52" s="288"/>
      <c r="D52" s="287"/>
    </row>
    <row r="53" customFormat="false" ht="15" hidden="false" customHeight="false" outlineLevel="0" collapsed="false">
      <c r="B53" s="287"/>
      <c r="C53" s="288"/>
      <c r="D53" s="287"/>
    </row>
    <row r="54" customFormat="false" ht="15" hidden="false" customHeight="false" outlineLevel="0" collapsed="false">
      <c r="B54" s="287"/>
      <c r="C54" s="288"/>
      <c r="D54" s="287"/>
    </row>
    <row r="55" customFormat="false" ht="15" hidden="false" customHeight="false" outlineLevel="0" collapsed="false">
      <c r="B55" s="287"/>
      <c r="C55" s="288"/>
      <c r="D55" s="287"/>
    </row>
  </sheetData>
  <mergeCells count="58">
    <mergeCell ref="B4:B5"/>
    <mergeCell ref="C4:C5"/>
    <mergeCell ref="D4:D5"/>
    <mergeCell ref="B8:B9"/>
    <mergeCell ref="C8:C9"/>
    <mergeCell ref="D8:D9"/>
    <mergeCell ref="B10:B11"/>
    <mergeCell ref="C10:C11"/>
    <mergeCell ref="D10:D11"/>
    <mergeCell ref="B12:B13"/>
    <mergeCell ref="C12:C13"/>
    <mergeCell ref="D12:D13"/>
    <mergeCell ref="B14:B15"/>
    <mergeCell ref="C14:C15"/>
    <mergeCell ref="D14:D15"/>
    <mergeCell ref="B16:B17"/>
    <mergeCell ref="C16:C17"/>
    <mergeCell ref="D16:D17"/>
    <mergeCell ref="B18:B19"/>
    <mergeCell ref="C18:C19"/>
    <mergeCell ref="D18:D19"/>
    <mergeCell ref="D20:D22"/>
    <mergeCell ref="B23:B24"/>
    <mergeCell ref="C23:C24"/>
    <mergeCell ref="D23:D24"/>
    <mergeCell ref="B25:B26"/>
    <mergeCell ref="C25:C26"/>
    <mergeCell ref="D25:D26"/>
    <mergeCell ref="D27:D29"/>
    <mergeCell ref="B30:B31"/>
    <mergeCell ref="C30:C31"/>
    <mergeCell ref="D30:D31"/>
    <mergeCell ref="B34:B35"/>
    <mergeCell ref="C34:C35"/>
    <mergeCell ref="D34:D35"/>
    <mergeCell ref="B36:B37"/>
    <mergeCell ref="C36:C37"/>
    <mergeCell ref="D36:D37"/>
    <mergeCell ref="B38:B39"/>
    <mergeCell ref="C38:C39"/>
    <mergeCell ref="D38:D39"/>
    <mergeCell ref="B40:B41"/>
    <mergeCell ref="C40:C41"/>
    <mergeCell ref="D40:D41"/>
    <mergeCell ref="B42:B43"/>
    <mergeCell ref="C42:C43"/>
    <mergeCell ref="D42:D43"/>
    <mergeCell ref="B44:B45"/>
    <mergeCell ref="C44:C45"/>
    <mergeCell ref="D44:D45"/>
    <mergeCell ref="D46:D48"/>
    <mergeCell ref="B49:B50"/>
    <mergeCell ref="C49:C50"/>
    <mergeCell ref="D49:D50"/>
    <mergeCell ref="B51:B52"/>
    <mergeCell ref="C51:C52"/>
    <mergeCell ref="D51:D52"/>
    <mergeCell ref="D53:D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2024-08-07T14:30:30Z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